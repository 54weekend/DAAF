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nwpu" sheetId="1" r:id="rId1"/>
    <sheet name="dota" sheetId="2" r:id="rId2"/>
    <sheet name="dior" sheetId="3" r:id="rId3"/>
    <sheet name="nwpu1" sheetId="4" r:id="rId4"/>
    <sheet name="dota1" sheetId="5" r:id="rId5"/>
    <sheet name="dior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<sst xmlns="http://schemas.openxmlformats.org/spreadsheetml/2006/main" count="561" uniqueCount="365">
  <si>
    <t>nwpu</t>
  </si>
  <si>
    <t>category</t>
  </si>
  <si>
    <t>MobileNetV2</t>
  </si>
  <si>
    <t>MobileViT</t>
  </si>
  <si>
    <t>Concat Fusion</t>
  </si>
  <si>
    <t>Add Fusion (baseline)</t>
  </si>
  <si>
    <t>DAAF-Full (ours)</t>
  </si>
  <si>
    <t>AP</t>
  </si>
  <si>
    <t>100±0</t>
  </si>
  <si>
    <t>99.96±0.03</t>
  </si>
  <si>
    <t>100±0.01</t>
  </si>
  <si>
    <t>BD</t>
  </si>
  <si>
    <t>97.56±0.34</t>
  </si>
  <si>
    <t>95.55±0.72</t>
  </si>
  <si>
    <t>98.89±0.69</t>
  </si>
  <si>
    <t>97.36±1.14</t>
  </si>
  <si>
    <t>96.9±0.9</t>
  </si>
  <si>
    <t>BC</t>
  </si>
  <si>
    <t>81.85±5.25</t>
  </si>
  <si>
    <t>57.48±21.35</t>
  </si>
  <si>
    <t>84.58±4.97</t>
  </si>
  <si>
    <t>88.93±6.38</t>
  </si>
  <si>
    <t>83.47±4.16</t>
  </si>
  <si>
    <t>BR</t>
  </si>
  <si>
    <t>84.61±8.43</t>
  </si>
  <si>
    <t>80.04±13.51</t>
  </si>
  <si>
    <t>76.41±12.01</t>
  </si>
  <si>
    <t>73.71±7.56</t>
  </si>
  <si>
    <t>91.07±6.44</t>
  </si>
  <si>
    <t>GTF</t>
  </si>
  <si>
    <t>99.74±0.45</t>
  </si>
  <si>
    <t>HB</t>
  </si>
  <si>
    <t>85.92±6.16</t>
  </si>
  <si>
    <t>84.87±1.49</t>
  </si>
  <si>
    <t>88.05±3.05</t>
  </si>
  <si>
    <t>82.75±3.37</t>
  </si>
  <si>
    <t>91.14±4.42</t>
  </si>
  <si>
    <t>SH</t>
  </si>
  <si>
    <t>65±5.46</t>
  </si>
  <si>
    <t>54.18±3.52</t>
  </si>
  <si>
    <t>65.86±6.48</t>
  </si>
  <si>
    <t>63.69±2.58</t>
  </si>
  <si>
    <t>67.04±5.62</t>
  </si>
  <si>
    <t>ST</t>
  </si>
  <si>
    <t>96.19±2.03</t>
  </si>
  <si>
    <t>95.26±0.82</t>
  </si>
  <si>
    <t>97.48±1.83</t>
  </si>
  <si>
    <t>95.87±2.66</t>
  </si>
  <si>
    <t>96.41±1.7</t>
  </si>
  <si>
    <t>TC</t>
  </si>
  <si>
    <t>90.66±1.45</t>
  </si>
  <si>
    <t>86.61±1.24</t>
  </si>
  <si>
    <t>90.11±1.05</t>
  </si>
  <si>
    <t>89.89±0.63</t>
  </si>
  <si>
    <t>90.38±0.51</t>
  </si>
  <si>
    <t>VH</t>
  </si>
  <si>
    <t>72.57±5.43</t>
  </si>
  <si>
    <t>55.72±3.63</t>
  </si>
  <si>
    <t>68.92±0.32</t>
  </si>
  <si>
    <t>68.15±4.87</t>
  </si>
  <si>
    <t>81.33±2.24</t>
  </si>
  <si>
    <t>Overall mAP</t>
  </si>
  <si>
    <t>87.44±1.27</t>
  </si>
  <si>
    <t>80.97±1.94</t>
  </si>
  <si>
    <t>87±0.77</t>
  </si>
  <si>
    <t>86.03±1.9</t>
  </si>
  <si>
    <t>89.77±0.81</t>
  </si>
  <si>
    <t>dota</t>
  </si>
  <si>
    <t>73.5±1.78</t>
  </si>
  <si>
    <t>56.77±4.22</t>
  </si>
  <si>
    <t>75.5±0.93</t>
  </si>
  <si>
    <t>71.83±1.29</t>
  </si>
  <si>
    <t>72.56±1.67</t>
  </si>
  <si>
    <t>57.35±1.64</t>
  </si>
  <si>
    <t>41.14±2.61</t>
  </si>
  <si>
    <t>59.37±2.37</t>
  </si>
  <si>
    <t>60.66±2.05</t>
  </si>
  <si>
    <t>59.87±0.82</t>
  </si>
  <si>
    <t>43.9±0.58</t>
  </si>
  <si>
    <t>32.82±3.99</t>
  </si>
  <si>
    <t>45.27±0.59</t>
  </si>
  <si>
    <t>44.15±3.17</t>
  </si>
  <si>
    <t>45.67±0.27</t>
  </si>
  <si>
    <t>51.65±3.09</t>
  </si>
  <si>
    <t>32.6±6.15</t>
  </si>
  <si>
    <t>52.41±1.8</t>
  </si>
  <si>
    <t>48.53±3.45</t>
  </si>
  <si>
    <t>53.82±2.98</t>
  </si>
  <si>
    <t>HA</t>
  </si>
  <si>
    <t>78.16±0.89</t>
  </si>
  <si>
    <t>72±2.26</t>
  </si>
  <si>
    <t>78.49±0.84</t>
  </si>
  <si>
    <t>77.79±0.23</t>
  </si>
  <si>
    <t>79.56±0.96</t>
  </si>
  <si>
    <t>HC</t>
  </si>
  <si>
    <t>18.15±2.44</t>
  </si>
  <si>
    <t>13.1±2.65</t>
  </si>
  <si>
    <t>21.54±5.32</t>
  </si>
  <si>
    <t>21.5±3.43</t>
  </si>
  <si>
    <t>23.79±6.43</t>
  </si>
  <si>
    <t>LV</t>
  </si>
  <si>
    <t>84.46±0.42</t>
  </si>
  <si>
    <t>83.07±0.99</t>
  </si>
  <si>
    <t>85.13±0.25</t>
  </si>
  <si>
    <t>84.44±0.62</t>
  </si>
  <si>
    <t>84.82±0.49</t>
  </si>
  <si>
    <t>PL</t>
  </si>
  <si>
    <t>96.19±0.4</t>
  </si>
  <si>
    <t>94.71±0.77</t>
  </si>
  <si>
    <t>96.54±0.17</t>
  </si>
  <si>
    <t>96.2±0.84</t>
  </si>
  <si>
    <t>96.36±0.42</t>
  </si>
  <si>
    <t>RA</t>
  </si>
  <si>
    <t>57.45±1.79</t>
  </si>
  <si>
    <t>36.97±5.88</t>
  </si>
  <si>
    <t>59.96±2.37</t>
  </si>
  <si>
    <t>57.61±1.2</t>
  </si>
  <si>
    <t>58.62±3.1</t>
  </si>
  <si>
    <t>93.46±0.32</t>
  </si>
  <si>
    <t>91.66±0.7</t>
  </si>
  <si>
    <t>93.44±0.06</t>
  </si>
  <si>
    <t>93.29±0.16</t>
  </si>
  <si>
    <t>93.54±0.07</t>
  </si>
  <si>
    <t>SV</t>
  </si>
  <si>
    <t>71.61±0.72</t>
  </si>
  <si>
    <t>70.04±0.84</t>
  </si>
  <si>
    <t>73.56±1.88</t>
  </si>
  <si>
    <t>71.45±1.35</t>
  </si>
  <si>
    <t>72.45±0.33</t>
  </si>
  <si>
    <t>SBF</t>
  </si>
  <si>
    <t>64.75±2.85</t>
  </si>
  <si>
    <t>44.27±8.8</t>
  </si>
  <si>
    <t>59.78±5.7</t>
  </si>
  <si>
    <t>64.79±1.3</t>
  </si>
  <si>
    <t>63.47±3.02</t>
  </si>
  <si>
    <t>87.36±1.01</t>
  </si>
  <si>
    <t>81.42±2</t>
  </si>
  <si>
    <t>87.56±0.73</t>
  </si>
  <si>
    <t>87.1±1.09</t>
  </si>
  <si>
    <t>86.94±0.96</t>
  </si>
  <si>
    <t>SP</t>
  </si>
  <si>
    <t>63.57±1.99</t>
  </si>
  <si>
    <t>59.96±1.41</t>
  </si>
  <si>
    <t>68.66±1.24</t>
  </si>
  <si>
    <t>66.93±4.37</t>
  </si>
  <si>
    <t>68.51±3.12</t>
  </si>
  <si>
    <t>92.85±0.45</t>
  </si>
  <si>
    <t>91.35±0.65</t>
  </si>
  <si>
    <t>92.47±0.12</t>
  </si>
  <si>
    <t>92.6±0.25</t>
  </si>
  <si>
    <t>92.68±0.42</t>
  </si>
  <si>
    <t>68.96±0.16</t>
  </si>
  <si>
    <t>60.12±2.73</t>
  </si>
  <si>
    <t>69.98±0.79</t>
  </si>
  <si>
    <t>69.26±0.77</t>
  </si>
  <si>
    <t>70.18±0.76</t>
  </si>
  <si>
    <t>dior</t>
  </si>
  <si>
    <t>C1</t>
  </si>
  <si>
    <t>90.66±2.65</t>
  </si>
  <si>
    <t>94.59±0.15</t>
  </si>
  <si>
    <t>95.15±0.15</t>
  </si>
  <si>
    <t>94.54±1.56</t>
  </si>
  <si>
    <t>95.19±0.55</t>
  </si>
  <si>
    <t>C2</t>
  </si>
  <si>
    <t>84.06±1.54</t>
  </si>
  <si>
    <t>90.28±1.1</t>
  </si>
  <si>
    <t>92.92±2.03</t>
  </si>
  <si>
    <t>91.05±2.91</t>
  </si>
  <si>
    <t>93.65±1.18</t>
  </si>
  <si>
    <t>C3</t>
  </si>
  <si>
    <t>92.25±0.88</t>
  </si>
  <si>
    <t>95.44±0.13</t>
  </si>
  <si>
    <t>96.21±0.22</t>
  </si>
  <si>
    <t>95.63±0.66</t>
  </si>
  <si>
    <t>96.13±0.17</t>
  </si>
  <si>
    <t>C4</t>
  </si>
  <si>
    <t>90.42±1.63</t>
  </si>
  <si>
    <t>93.26±0.48</t>
  </si>
  <si>
    <t>94.47±0.36</t>
  </si>
  <si>
    <t>93.83±0.73</t>
  </si>
  <si>
    <t>94.25±0.54</t>
  </si>
  <si>
    <t>C5</t>
  </si>
  <si>
    <t>49.01±3.99</t>
  </si>
  <si>
    <t>59.98±0.7</t>
  </si>
  <si>
    <t>64.35±0.75</t>
  </si>
  <si>
    <t>60.96±3.08</t>
  </si>
  <si>
    <t>64.18±0.58</t>
  </si>
  <si>
    <t>C6</t>
  </si>
  <si>
    <t>87.08±0.38</t>
  </si>
  <si>
    <t>90.93±1.14</t>
  </si>
  <si>
    <t>93.6±0.69</t>
  </si>
  <si>
    <t>92±2.03</t>
  </si>
  <si>
    <t>93.1±1</t>
  </si>
  <si>
    <t>C7</t>
  </si>
  <si>
    <t>64.56±0.92</t>
  </si>
  <si>
    <t>78.79±3.31</t>
  </si>
  <si>
    <t>82.33±1.82</t>
  </si>
  <si>
    <t>81.56±3.66</t>
  </si>
  <si>
    <t>83.95±1.11</t>
  </si>
  <si>
    <t>C8</t>
  </si>
  <si>
    <t>89.89±1.6</t>
  </si>
  <si>
    <t>96.48±0.14</t>
  </si>
  <si>
    <t>96.87±0.27</t>
  </si>
  <si>
    <t>96.38±0.64</t>
  </si>
  <si>
    <t>96.75±0.38</t>
  </si>
  <si>
    <t>C9</t>
  </si>
  <si>
    <t>81.58±4.5</t>
  </si>
  <si>
    <t>91.64±0.42</t>
  </si>
  <si>
    <t>93.78±0.78</t>
  </si>
  <si>
    <t>91.98±2.44</t>
  </si>
  <si>
    <t>92.96±1.25</t>
  </si>
  <si>
    <t>C10</t>
  </si>
  <si>
    <t>82.18±3.01</t>
  </si>
  <si>
    <t>91.18±1.09</t>
  </si>
  <si>
    <t>89.87±1.5</t>
  </si>
  <si>
    <t>90.96±2.41</t>
  </si>
  <si>
    <t>91.71±1.99</t>
  </si>
  <si>
    <t>C11</t>
  </si>
  <si>
    <t>84.55±2.33</t>
  </si>
  <si>
    <t>91.68±0.85</t>
  </si>
  <si>
    <t>92.92±0.63</t>
  </si>
  <si>
    <t>92.17±1.94</t>
  </si>
  <si>
    <t>93.17±0.45</t>
  </si>
  <si>
    <t>C12</t>
  </si>
  <si>
    <t>60.16±3.62</t>
  </si>
  <si>
    <t>74.38±0.93</t>
  </si>
  <si>
    <t>75.98±0.27</t>
  </si>
  <si>
    <t>72.66±3.07</t>
  </si>
  <si>
    <t>75.88±0.58</t>
  </si>
  <si>
    <t>C13</t>
  </si>
  <si>
    <t>65.5±0.9</t>
  </si>
  <si>
    <t>76.29±0.38</t>
  </si>
  <si>
    <t>78.09±0.89</t>
  </si>
  <si>
    <t>75.49±2.53</t>
  </si>
  <si>
    <t>78.47±0.71</t>
  </si>
  <si>
    <t>C14</t>
  </si>
  <si>
    <t>86.99±2.28</t>
  </si>
  <si>
    <t>95.15±0.2</t>
  </si>
  <si>
    <t>95.96±0.27</t>
  </si>
  <si>
    <t>93.76±3.4</t>
  </si>
  <si>
    <t>95.82±0.04</t>
  </si>
  <si>
    <t>C15</t>
  </si>
  <si>
    <t>93.04±1.23</t>
  </si>
  <si>
    <t>94.24±0.5</t>
  </si>
  <si>
    <t>94±0.5</t>
  </si>
  <si>
    <t>94.74±1.67</t>
  </si>
  <si>
    <t>93.47±0.46</t>
  </si>
  <si>
    <t>C16</t>
  </si>
  <si>
    <t>77.25±3.71</t>
  </si>
  <si>
    <t>90.01±0.18</t>
  </si>
  <si>
    <t>91.62±0.35</t>
  </si>
  <si>
    <t>87.61±6.38</t>
  </si>
  <si>
    <t>91.36±0.5</t>
  </si>
  <si>
    <t>C17</t>
  </si>
  <si>
    <t>94.91±0.51</t>
  </si>
  <si>
    <t>97.63±0.15</t>
  </si>
  <si>
    <t>98.27±0.06</t>
  </si>
  <si>
    <t>97.85±0.87</t>
  </si>
  <si>
    <t>98.1±0.24</t>
  </si>
  <si>
    <t>C18</t>
  </si>
  <si>
    <t>58.07±1.88</t>
  </si>
  <si>
    <t>69.12±1.1</t>
  </si>
  <si>
    <t>74.79±3.15</t>
  </si>
  <si>
    <t>78.62±2.81</t>
  </si>
  <si>
    <t>74.5±2.58</t>
  </si>
  <si>
    <t>C19</t>
  </si>
  <si>
    <t>50.13±5.25</t>
  </si>
  <si>
    <t>70.84±0.27</t>
  </si>
  <si>
    <t>74.5±0.81</t>
  </si>
  <si>
    <t>67.35±10.93</t>
  </si>
  <si>
    <t>74.34±0.74</t>
  </si>
  <si>
    <t>C20</t>
  </si>
  <si>
    <t>80.45±2.44</t>
  </si>
  <si>
    <t>87.2±0.32</t>
  </si>
  <si>
    <t>88.12±0.84</t>
  </si>
  <si>
    <t>85±4.05</t>
  </si>
  <si>
    <t>87.46±0.27</t>
  </si>
  <si>
    <t>78.14±1.12</t>
  </si>
  <si>
    <t>86.46±0.33</t>
  </si>
  <si>
    <t>88.19±0.16</t>
  </si>
  <si>
    <t>86.71±1.86</t>
  </si>
  <si>
    <t>88.22±0.42</t>
  </si>
  <si>
    <t>MobileNetV2  seeds=11</t>
  </si>
  <si>
    <t>MobileNetV2   seeds=42</t>
  </si>
  <si>
    <t>MobileNetV2   seeds=123</t>
  </si>
  <si>
    <t>MobileViT   seeds=11</t>
  </si>
  <si>
    <t>MobileViT  seeds=42</t>
  </si>
  <si>
    <t>MobileViT   seeds=123</t>
  </si>
  <si>
    <t xml:space="preserve">MobileViT </t>
  </si>
  <si>
    <t>airplane</t>
  </si>
  <si>
    <t>baseball-diamond</t>
  </si>
  <si>
    <t>basketball-court</t>
  </si>
  <si>
    <t>bridge</t>
  </si>
  <si>
    <t>ground-track-field</t>
  </si>
  <si>
    <t>harbor</t>
  </si>
  <si>
    <t>ship</t>
  </si>
  <si>
    <t>storage-tank</t>
  </si>
  <si>
    <t>tennis-court</t>
  </si>
  <si>
    <t>vehicle</t>
  </si>
  <si>
    <t>map</t>
  </si>
  <si>
    <t>HCSS Only seeds=11</t>
  </si>
  <si>
    <t>HCSS Only seeds=42</t>
  </si>
  <si>
    <t>HCSS Only seeds=123</t>
  </si>
  <si>
    <t>HCSS Only</t>
  </si>
  <si>
    <t>UFDC+UCSS 11</t>
  </si>
  <si>
    <t>UFDC+UCSS 42</t>
  </si>
  <si>
    <t>UFDC+UCSS 123</t>
  </si>
  <si>
    <t>UFDC+UCSS</t>
  </si>
  <si>
    <t>UFDC + SADPG 11</t>
  </si>
  <si>
    <t>UFDC + SADPG 42</t>
  </si>
  <si>
    <t>UFDC + SADPG 123</t>
  </si>
  <si>
    <t>UFDC + SADPG</t>
  </si>
  <si>
    <t>HCSS + SADPG 11</t>
  </si>
  <si>
    <t>HCSS + SADPG 42</t>
  </si>
  <si>
    <t>HCSS + SADPG 123</t>
  </si>
  <si>
    <t>HCSS + SADPG</t>
  </si>
  <si>
    <t>SADPG Only 11</t>
  </si>
  <si>
    <t>SADPG Only 42</t>
  </si>
  <si>
    <t>SADPG Only 123</t>
  </si>
  <si>
    <t>SADPG Only</t>
  </si>
  <si>
    <t>ufdc   seeds=11</t>
  </si>
  <si>
    <t>ufdc   seeds=42</t>
  </si>
  <si>
    <t>ufdc   seeds=123</t>
  </si>
  <si>
    <t>ufdc</t>
  </si>
  <si>
    <t>Add Fusion (baseline)11</t>
  </si>
  <si>
    <t>Add Fusion (baseline)42</t>
  </si>
  <si>
    <t>Add Fusion (baseline)123</t>
  </si>
  <si>
    <t xml:space="preserve">Add Fusion </t>
  </si>
  <si>
    <t>Concat Fusion 11</t>
  </si>
  <si>
    <t>Concat Fusion 42</t>
  </si>
  <si>
    <t>Concat Fusion 123</t>
  </si>
  <si>
    <t>Concat</t>
  </si>
  <si>
    <t>daaf   seeds=11</t>
  </si>
  <si>
    <t>daaf   seeds=42</t>
  </si>
  <si>
    <t>daaf   seeds=123</t>
  </si>
  <si>
    <t>daaf</t>
  </si>
  <si>
    <t>DOTA</t>
  </si>
  <si>
    <t>MobileNetV2 11</t>
  </si>
  <si>
    <t>MobileNetV2 42</t>
  </si>
  <si>
    <t>MobileNetV2 123</t>
  </si>
  <si>
    <t>MobileViT 11</t>
  </si>
  <si>
    <t>MobileViT 42</t>
  </si>
  <si>
    <t>MobileViT 123</t>
  </si>
  <si>
    <t>MAP</t>
  </si>
  <si>
    <t>Add Fusion (baseline) 11</t>
  </si>
  <si>
    <t>Add Fusion (baseline) 42</t>
  </si>
  <si>
    <t>Add Fusion (baseline) 123</t>
  </si>
  <si>
    <t>DAAF-Full (ours)11</t>
  </si>
  <si>
    <t>DAAF-Full (ours)42</t>
  </si>
  <si>
    <t>DAAF-Full (ours)123</t>
  </si>
  <si>
    <t>Expressway-Service-area</t>
  </si>
  <si>
    <t>Expressway-toll-station</t>
  </si>
  <si>
    <t>airport</t>
  </si>
  <si>
    <t>baseballfield</t>
  </si>
  <si>
    <t>basketballcourt</t>
  </si>
  <si>
    <t>chimney</t>
  </si>
  <si>
    <t>dam</t>
  </si>
  <si>
    <t>golffield</t>
  </si>
  <si>
    <t>groundtrackfield</t>
  </si>
  <si>
    <t>overpass</t>
  </si>
  <si>
    <t>stadium</t>
  </si>
  <si>
    <t xml:space="preserve"> storagetank</t>
  </si>
  <si>
    <t>tenniscourt</t>
  </si>
  <si>
    <t xml:space="preserve"> trainstation</t>
  </si>
  <si>
    <t xml:space="preserve">windmill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</si>
</sst>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theme="1"/>
      <name val="宋体"/>
      <charset val="134"/>
      <scheme val="minor"/>
    </font>
    <font>
      <b/>
      <sz val="11"/>
      <color rgb="FFFFFFFF"/>
      <name val="Noto Sans CJK SC"/>
      <charset val="1"/>
    </font>
    <font>
      <b/>
      <sz val="11"/>
      <color rgb="FFFFFFFF"/>
      <name val="Times New Roman"/>
      <charset val="1"/>
    </font>
    <font>
      <sz val="11"/>
      <color rgb="FF000000"/>
      <name val="Noto Sans CJK SC"/>
      <charset val="1"/>
    </font>
    <font>
      <sz val="11"/>
      <color rgb="FF000000"/>
      <name val="Times New Roman"/>
      <charset val="1"/>
    </font>
    <font>
      <sz val="11"/>
      <color rgb="FF000000"/>
      <name val="宋体"/>
      <charset val="134"/>
      <scheme val="minor"/>
    </font>
    <font>
      <sz val="10"/>
      <name val="Noto Sans CJK SC"/>
      <charset val="1"/>
    </font>
    <font>
      <b/>
      <sz val="11"/>
      <color rgb="FFFFFFFF"/>
      <name val="Microsoft YaHei"/>
      <charset val="1"/>
    </font>
    <font>
      <sz val="10"/>
      <color rgb="FF000000"/>
      <name val="Microsoft YaHei"/>
      <charset val="1"/>
    </font>
    <font>
      <sz val="10"/>
      <color rgb="FF000000"/>
      <name val="Microsoft YaHei"/>
      <charset val="134"/>
    </font>
    <font>
      <sz val="11"/>
      <color rgb="FF000000"/>
      <name val="Microsoft YaHei"/>
      <charset val="0"/>
    </font>
    <font>
      <sz val="11"/>
      <color rgb="FF000000"/>
      <name val="Microsoft YaHei"/>
      <charset val="1"/>
    </font>
    <font>
      <sz val="11"/>
      <color rgb="FF000000"/>
      <name val="Microsoft YaHei"/>
      <charset val="134"/>
    </font>
    <font>
      <b/>
      <sz val="16"/>
      <color theme="4"/>
      <name val="Microsoft YaHei"/>
      <charset val="1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/>
    </xf>
    <xf numFmtId="176" fontId="3" fillId="4" borderId="0" xfId="0" applyNumberFormat="1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176" fontId="8" fillId="4" borderId="0" xfId="0" applyNumberFormat="1" applyFont="1" applyFill="1" applyBorder="1" applyAlignment="1">
      <alignment horizontal="center" vertical="center" wrapText="1"/>
    </xf>
    <xf numFmtId="176" fontId="8" fillId="3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0" fillId="3" borderId="0" xfId="6" applyFont="1" applyFill="1" applyBorder="1" applyAlignment="1">
      <alignment horizontal="center" vertical="center" wrapText="1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0" fillId="4" borderId="0" xfId="6" applyFont="1" applyFill="1" applyBorder="1" applyAlignment="1">
      <alignment horizontal="center" vertical="center" wrapText="1"/>
    </xf>
    <xf numFmtId="0" fontId="11" fillId="4" borderId="0" xfId="0" applyNumberFormat="1" applyFont="1" applyFill="1" applyBorder="1" applyAlignment="1" applyProtection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176" fontId="11" fillId="3" borderId="0" xfId="0" applyNumberFormat="1" applyFont="1" applyFill="1" applyBorder="1" applyAlignment="1">
      <alignment horizontal="center" vertical="center" wrapText="1"/>
    </xf>
    <xf numFmtId="176" fontId="11" fillId="3" borderId="0" xfId="0" applyNumberFormat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176" fontId="11" fillId="3" borderId="0" xfId="0" applyNumberFormat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176" fontId="11" fillId="4" borderId="0" xfId="0" applyNumberFormat="1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76" fontId="11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1" fillId="3" borderId="0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4">
    <dxf>
      <font>
        <strike val="0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6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中色系标题行镶边行表格样式_6e22f3" count="7" xr9:uid="{9B8C4FD4-59E8-4CC6-AEB0-629A14670F0D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中色系标题行镶边列表格样式_e714ff" count="7" xr9:uid="{B1C0255B-65FD-4510-9546-18B99FE924D7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I10" sqref="I10"/>
    </sheetView>
  </sheetViews>
  <sheetFormatPr defaultColWidth="9" defaultRowHeight="20.25" outlineLevelCol="5"/>
  <cols>
    <col min="1" max="1" width="15.0083333333333" style="103" customWidth="1"/>
    <col min="2" max="2" width="16.5083333333333" style="103" customWidth="1"/>
    <col min="3" max="3" width="14.8416666666667" style="103" customWidth="1"/>
    <col min="4" max="4" width="17.5083333333333" style="103" customWidth="1"/>
    <col min="5" max="5" width="26.0083333333333" style="103" customWidth="1"/>
    <col min="6" max="6" width="21.675" style="103" customWidth="1"/>
  </cols>
  <sheetData>
    <row r="1" ht="28.5" customHeight="1" spans="1:6">
      <c r="A1" s="98" t="s">
        <v>0</v>
      </c>
      <c r="B1" s="98"/>
      <c r="C1" s="98"/>
      <c r="D1" s="98"/>
      <c r="E1" s="98"/>
      <c r="F1" s="98"/>
    </row>
    <row r="2" ht="22.5" customHeight="1" spans="1:6">
      <c r="A2" s="36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</row>
    <row r="3" ht="22.5" customHeight="1" spans="1:6">
      <c r="A3" s="67" t="s">
        <v>7</v>
      </c>
      <c r="B3" s="99" t="s">
        <v>8</v>
      </c>
      <c r="C3" s="99" t="s">
        <v>9</v>
      </c>
      <c r="D3" s="99" t="s">
        <v>8</v>
      </c>
      <c r="E3" s="99" t="s">
        <v>8</v>
      </c>
      <c r="F3" s="104" t="s">
        <v>10</v>
      </c>
    </row>
    <row r="4" ht="22.5" customHeight="1" spans="1:6">
      <c r="A4" s="71" t="s">
        <v>11</v>
      </c>
      <c r="B4" s="83" t="s">
        <v>12</v>
      </c>
      <c r="C4" s="83" t="s">
        <v>13</v>
      </c>
      <c r="D4" s="83" t="s">
        <v>14</v>
      </c>
      <c r="E4" s="83" t="s">
        <v>15</v>
      </c>
      <c r="F4" s="84" t="s">
        <v>16</v>
      </c>
    </row>
    <row r="5" ht="22.5" customHeight="1" spans="1:6">
      <c r="A5" s="67" t="s">
        <v>17</v>
      </c>
      <c r="B5" s="80" t="s">
        <v>18</v>
      </c>
      <c r="C5" s="80" t="s">
        <v>19</v>
      </c>
      <c r="D5" s="80" t="s">
        <v>20</v>
      </c>
      <c r="E5" s="80" t="s">
        <v>21</v>
      </c>
      <c r="F5" s="81" t="s">
        <v>22</v>
      </c>
    </row>
    <row r="6" ht="22.5" customHeight="1" spans="1:6">
      <c r="A6" s="71" t="s">
        <v>23</v>
      </c>
      <c r="B6" s="83" t="s">
        <v>24</v>
      </c>
      <c r="C6" s="83" t="s">
        <v>25</v>
      </c>
      <c r="D6" s="83" t="s">
        <v>26</v>
      </c>
      <c r="E6" s="83" t="s">
        <v>27</v>
      </c>
      <c r="F6" s="84" t="s">
        <v>28</v>
      </c>
    </row>
    <row r="7" ht="22.5" customHeight="1" spans="1:6">
      <c r="A7" s="67" t="s">
        <v>29</v>
      </c>
      <c r="B7" s="67" t="s">
        <v>8</v>
      </c>
      <c r="C7" s="67" t="s">
        <v>8</v>
      </c>
      <c r="D7" s="67" t="s">
        <v>30</v>
      </c>
      <c r="E7" s="67" t="s">
        <v>8</v>
      </c>
      <c r="F7" s="67" t="s">
        <v>8</v>
      </c>
    </row>
    <row r="8" ht="22.5" customHeight="1" spans="1:6">
      <c r="A8" s="71" t="s">
        <v>31</v>
      </c>
      <c r="B8" s="83" t="s">
        <v>32</v>
      </c>
      <c r="C8" s="83" t="s">
        <v>33</v>
      </c>
      <c r="D8" s="83" t="s">
        <v>34</v>
      </c>
      <c r="E8" s="83" t="s">
        <v>35</v>
      </c>
      <c r="F8" s="84" t="s">
        <v>36</v>
      </c>
    </row>
    <row r="9" ht="22.5" customHeight="1" spans="1:6">
      <c r="A9" s="67" t="s">
        <v>37</v>
      </c>
      <c r="B9" s="80" t="s">
        <v>38</v>
      </c>
      <c r="C9" s="80" t="s">
        <v>39</v>
      </c>
      <c r="D9" s="80" t="s">
        <v>40</v>
      </c>
      <c r="E9" s="80" t="s">
        <v>41</v>
      </c>
      <c r="F9" s="81" t="s">
        <v>42</v>
      </c>
    </row>
    <row r="10" ht="22.5" customHeight="1" spans="1:6">
      <c r="A10" s="71" t="s">
        <v>43</v>
      </c>
      <c r="B10" s="83" t="s">
        <v>44</v>
      </c>
      <c r="C10" s="83" t="s">
        <v>45</v>
      </c>
      <c r="D10" s="83" t="s">
        <v>46</v>
      </c>
      <c r="E10" s="83" t="s">
        <v>47</v>
      </c>
      <c r="F10" s="84" t="s">
        <v>48</v>
      </c>
    </row>
    <row r="11" ht="22.5" customHeight="1" spans="1:6">
      <c r="A11" s="67" t="s">
        <v>49</v>
      </c>
      <c r="B11" s="80" t="s">
        <v>50</v>
      </c>
      <c r="C11" s="80" t="s">
        <v>51</v>
      </c>
      <c r="D11" s="80" t="s">
        <v>52</v>
      </c>
      <c r="E11" s="80" t="s">
        <v>53</v>
      </c>
      <c r="F11" s="81" t="s">
        <v>54</v>
      </c>
    </row>
    <row r="12" ht="22.5" customHeight="1" spans="1:6">
      <c r="A12" s="71" t="s">
        <v>55</v>
      </c>
      <c r="B12" s="83" t="s">
        <v>56</v>
      </c>
      <c r="C12" s="83" t="s">
        <v>57</v>
      </c>
      <c r="D12" s="83" t="s">
        <v>58</v>
      </c>
      <c r="E12" s="83" t="s">
        <v>59</v>
      </c>
      <c r="F12" s="84" t="s">
        <v>60</v>
      </c>
    </row>
    <row r="13" ht="22.5" customHeight="1" spans="1:6">
      <c r="A13" s="100" t="s">
        <v>61</v>
      </c>
      <c r="B13" s="101" t="s">
        <v>62</v>
      </c>
      <c r="C13" s="101" t="s">
        <v>63</v>
      </c>
      <c r="D13" s="101" t="s">
        <v>64</v>
      </c>
      <c r="E13" s="101" t="s">
        <v>65</v>
      </c>
      <c r="F13" s="105" t="s">
        <v>66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:F1"/>
    </sheetView>
  </sheetViews>
  <sheetFormatPr defaultColWidth="9" defaultRowHeight="13.5" outlineLevelCol="5"/>
  <cols>
    <col min="1" max="1" width="15.0083333333333" customWidth="1"/>
    <col min="2" max="2" width="16.5083333333333" customWidth="1"/>
    <col min="3" max="3" width="13.8416666666667" customWidth="1"/>
    <col min="4" max="4" width="17.5083333333333" customWidth="1"/>
    <col min="5" max="5" width="26.0083333333333" customWidth="1"/>
    <col min="6" max="6" width="21.675" customWidth="1"/>
  </cols>
  <sheetData>
    <row r="1" ht="28.5" customHeight="1" spans="1:6">
      <c r="A1" s="98" t="s">
        <v>67</v>
      </c>
      <c r="B1" s="98"/>
      <c r="C1" s="98"/>
      <c r="D1" s="98"/>
      <c r="E1" s="98"/>
      <c r="F1" s="98"/>
    </row>
    <row r="2" ht="22.5" customHeight="1" spans="1:6">
      <c r="A2" s="36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</row>
    <row r="3" ht="22.5" customHeight="1" spans="1:6">
      <c r="A3" s="67" t="s">
        <v>11</v>
      </c>
      <c r="B3" s="67" t="s">
        <v>68</v>
      </c>
      <c r="C3" s="67" t="s">
        <v>69</v>
      </c>
      <c r="D3" s="67" t="s">
        <v>70</v>
      </c>
      <c r="E3" s="67" t="s">
        <v>71</v>
      </c>
      <c r="F3" s="67" t="s">
        <v>72</v>
      </c>
    </row>
    <row r="4" ht="22.5" customHeight="1" spans="1:6">
      <c r="A4" s="71" t="s">
        <v>17</v>
      </c>
      <c r="B4" s="71" t="s">
        <v>73</v>
      </c>
      <c r="C4" s="71" t="s">
        <v>74</v>
      </c>
      <c r="D4" s="71" t="s">
        <v>75</v>
      </c>
      <c r="E4" s="71" t="s">
        <v>76</v>
      </c>
      <c r="F4" s="71" t="s">
        <v>77</v>
      </c>
    </row>
    <row r="5" ht="22.5" customHeight="1" spans="1:6">
      <c r="A5" s="67" t="s">
        <v>23</v>
      </c>
      <c r="B5" s="67" t="s">
        <v>78</v>
      </c>
      <c r="C5" s="67" t="s">
        <v>79</v>
      </c>
      <c r="D5" s="67" t="s">
        <v>80</v>
      </c>
      <c r="E5" s="67" t="s">
        <v>81</v>
      </c>
      <c r="F5" s="67" t="s">
        <v>82</v>
      </c>
    </row>
    <row r="6" ht="22.5" customHeight="1" spans="1:6">
      <c r="A6" s="71" t="s">
        <v>29</v>
      </c>
      <c r="B6" s="71" t="s">
        <v>83</v>
      </c>
      <c r="C6" s="71" t="s">
        <v>84</v>
      </c>
      <c r="D6" s="71" t="s">
        <v>85</v>
      </c>
      <c r="E6" s="71" t="s">
        <v>86</v>
      </c>
      <c r="F6" s="71" t="s">
        <v>87</v>
      </c>
    </row>
    <row r="7" ht="22.5" customHeight="1" spans="1:6">
      <c r="A7" s="67" t="s">
        <v>88</v>
      </c>
      <c r="B7" s="67" t="s">
        <v>89</v>
      </c>
      <c r="C7" s="67" t="s">
        <v>90</v>
      </c>
      <c r="D7" s="67" t="s">
        <v>91</v>
      </c>
      <c r="E7" s="67" t="s">
        <v>92</v>
      </c>
      <c r="F7" s="67" t="s">
        <v>93</v>
      </c>
    </row>
    <row r="8" ht="22.5" customHeight="1" spans="1:6">
      <c r="A8" s="71" t="s">
        <v>94</v>
      </c>
      <c r="B8" s="71" t="s">
        <v>95</v>
      </c>
      <c r="C8" s="71" t="s">
        <v>96</v>
      </c>
      <c r="D8" s="71" t="s">
        <v>97</v>
      </c>
      <c r="E8" s="71" t="s">
        <v>98</v>
      </c>
      <c r="F8" s="71" t="s">
        <v>99</v>
      </c>
    </row>
    <row r="9" ht="22.5" customHeight="1" spans="1:6">
      <c r="A9" s="67" t="s">
        <v>100</v>
      </c>
      <c r="B9" s="67" t="s">
        <v>101</v>
      </c>
      <c r="C9" s="67" t="s">
        <v>102</v>
      </c>
      <c r="D9" s="67" t="s">
        <v>103</v>
      </c>
      <c r="E9" s="67" t="s">
        <v>104</v>
      </c>
      <c r="F9" s="67" t="s">
        <v>105</v>
      </c>
    </row>
    <row r="10" ht="22.5" customHeight="1" spans="1:6">
      <c r="A10" s="71" t="s">
        <v>106</v>
      </c>
      <c r="B10" s="71" t="s">
        <v>107</v>
      </c>
      <c r="C10" s="71" t="s">
        <v>108</v>
      </c>
      <c r="D10" s="71" t="s">
        <v>109</v>
      </c>
      <c r="E10" s="71" t="s">
        <v>110</v>
      </c>
      <c r="F10" s="71" t="s">
        <v>111</v>
      </c>
    </row>
    <row r="11" ht="22.5" customHeight="1" spans="1:6">
      <c r="A11" s="67" t="s">
        <v>112</v>
      </c>
      <c r="B11" s="67" t="s">
        <v>113</v>
      </c>
      <c r="C11" s="67" t="s">
        <v>114</v>
      </c>
      <c r="D11" s="67" t="s">
        <v>115</v>
      </c>
      <c r="E11" s="67" t="s">
        <v>116</v>
      </c>
      <c r="F11" s="67" t="s">
        <v>117</v>
      </c>
    </row>
    <row r="12" ht="22.5" customHeight="1" spans="1:6">
      <c r="A12" s="71" t="s">
        <v>37</v>
      </c>
      <c r="B12" s="71" t="s">
        <v>118</v>
      </c>
      <c r="C12" s="71" t="s">
        <v>119</v>
      </c>
      <c r="D12" s="71" t="s">
        <v>120</v>
      </c>
      <c r="E12" s="71" t="s">
        <v>121</v>
      </c>
      <c r="F12" s="71" t="s">
        <v>122</v>
      </c>
    </row>
    <row r="13" ht="22.5" customHeight="1" spans="1:6">
      <c r="A13" s="67" t="s">
        <v>123</v>
      </c>
      <c r="B13" s="67" t="s">
        <v>124</v>
      </c>
      <c r="C13" s="67" t="s">
        <v>125</v>
      </c>
      <c r="D13" s="67" t="s">
        <v>126</v>
      </c>
      <c r="E13" s="67" t="s">
        <v>127</v>
      </c>
      <c r="F13" s="67" t="s">
        <v>128</v>
      </c>
    </row>
    <row r="14" ht="22.5" customHeight="1" spans="1:6">
      <c r="A14" s="71" t="s">
        <v>129</v>
      </c>
      <c r="B14" s="71" t="s">
        <v>130</v>
      </c>
      <c r="C14" s="71" t="s">
        <v>131</v>
      </c>
      <c r="D14" s="71" t="s">
        <v>132</v>
      </c>
      <c r="E14" s="71" t="s">
        <v>133</v>
      </c>
      <c r="F14" s="71" t="s">
        <v>134</v>
      </c>
    </row>
    <row r="15" ht="22.5" customHeight="1" spans="1:6">
      <c r="A15" s="67" t="s">
        <v>43</v>
      </c>
      <c r="B15" s="67" t="s">
        <v>135</v>
      </c>
      <c r="C15" s="67" t="s">
        <v>136</v>
      </c>
      <c r="D15" s="67" t="s">
        <v>137</v>
      </c>
      <c r="E15" s="67" t="s">
        <v>138</v>
      </c>
      <c r="F15" s="67" t="s">
        <v>139</v>
      </c>
    </row>
    <row r="16" ht="22.5" customHeight="1" spans="1:6">
      <c r="A16" s="71" t="s">
        <v>140</v>
      </c>
      <c r="B16" s="71" t="s">
        <v>141</v>
      </c>
      <c r="C16" s="71" t="s">
        <v>142</v>
      </c>
      <c r="D16" s="71" t="s">
        <v>143</v>
      </c>
      <c r="E16" s="71" t="s">
        <v>144</v>
      </c>
      <c r="F16" s="71" t="s">
        <v>145</v>
      </c>
    </row>
    <row r="17" ht="22.5" customHeight="1" spans="1:6">
      <c r="A17" s="67" t="s">
        <v>49</v>
      </c>
      <c r="B17" s="67" t="s">
        <v>146</v>
      </c>
      <c r="C17" s="67" t="s">
        <v>147</v>
      </c>
      <c r="D17" s="67" t="s">
        <v>148</v>
      </c>
      <c r="E17" s="67" t="s">
        <v>149</v>
      </c>
      <c r="F17" s="67" t="s">
        <v>150</v>
      </c>
    </row>
    <row r="18" ht="22.5" customHeight="1" spans="1:6">
      <c r="A18" s="102" t="s">
        <v>61</v>
      </c>
      <c r="B18" s="102" t="s">
        <v>151</v>
      </c>
      <c r="C18" s="102" t="s">
        <v>152</v>
      </c>
      <c r="D18" s="102" t="s">
        <v>153</v>
      </c>
      <c r="E18" s="102" t="s">
        <v>154</v>
      </c>
      <c r="F18" s="102" t="s">
        <v>155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I11" sqref="I11"/>
    </sheetView>
  </sheetViews>
  <sheetFormatPr defaultColWidth="9" defaultRowHeight="13.5" outlineLevelCol="5"/>
  <cols>
    <col min="1" max="1" width="15.0083333333333" customWidth="1"/>
    <col min="2" max="2" width="16.5083333333333" customWidth="1"/>
    <col min="3" max="3" width="13.8416666666667" customWidth="1"/>
    <col min="4" max="4" width="17.5083333333333" customWidth="1"/>
    <col min="5" max="5" width="26.0083333333333" customWidth="1"/>
    <col min="6" max="6" width="21.675" customWidth="1"/>
  </cols>
  <sheetData>
    <row r="1" ht="28.5" customHeight="1" spans="1:6">
      <c r="A1" s="98" t="s">
        <v>156</v>
      </c>
      <c r="B1" s="98"/>
      <c r="C1" s="98"/>
      <c r="D1" s="98"/>
      <c r="E1" s="98"/>
      <c r="F1" s="98"/>
    </row>
    <row r="2" ht="22.5" customHeight="1" spans="1:6">
      <c r="A2" s="36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</row>
    <row r="3" ht="22.5" customHeight="1" spans="1:6">
      <c r="A3" s="67" t="s">
        <v>157</v>
      </c>
      <c r="B3" s="67" t="s">
        <v>158</v>
      </c>
      <c r="C3" s="67" t="s">
        <v>159</v>
      </c>
      <c r="D3" s="99" t="s">
        <v>160</v>
      </c>
      <c r="E3" s="67" t="s">
        <v>161</v>
      </c>
      <c r="F3" s="67" t="s">
        <v>162</v>
      </c>
    </row>
    <row r="4" ht="22.5" customHeight="1" spans="1:6">
      <c r="A4" s="71" t="s">
        <v>163</v>
      </c>
      <c r="B4" s="71" t="s">
        <v>164</v>
      </c>
      <c r="C4" s="71" t="s">
        <v>165</v>
      </c>
      <c r="D4" s="83" t="s">
        <v>166</v>
      </c>
      <c r="E4" s="71" t="s">
        <v>167</v>
      </c>
      <c r="F4" s="71" t="s">
        <v>168</v>
      </c>
    </row>
    <row r="5" ht="22.5" customHeight="1" spans="1:6">
      <c r="A5" s="67" t="s">
        <v>169</v>
      </c>
      <c r="B5" s="67" t="s">
        <v>170</v>
      </c>
      <c r="C5" s="67" t="s">
        <v>171</v>
      </c>
      <c r="D5" s="80" t="s">
        <v>172</v>
      </c>
      <c r="E5" s="67" t="s">
        <v>173</v>
      </c>
      <c r="F5" s="67" t="s">
        <v>174</v>
      </c>
    </row>
    <row r="6" ht="22.5" customHeight="1" spans="1:6">
      <c r="A6" s="71" t="s">
        <v>175</v>
      </c>
      <c r="B6" s="71" t="s">
        <v>176</v>
      </c>
      <c r="C6" s="71" t="s">
        <v>177</v>
      </c>
      <c r="D6" s="83" t="s">
        <v>178</v>
      </c>
      <c r="E6" s="71" t="s">
        <v>179</v>
      </c>
      <c r="F6" s="71" t="s">
        <v>180</v>
      </c>
    </row>
    <row r="7" ht="22.5" customHeight="1" spans="1:6">
      <c r="A7" s="67" t="s">
        <v>181</v>
      </c>
      <c r="B7" s="67" t="s">
        <v>182</v>
      </c>
      <c r="C7" s="67" t="s">
        <v>183</v>
      </c>
      <c r="D7" s="80" t="s">
        <v>184</v>
      </c>
      <c r="E7" s="67" t="s">
        <v>185</v>
      </c>
      <c r="F7" s="67" t="s">
        <v>186</v>
      </c>
    </row>
    <row r="8" ht="22.5" customHeight="1" spans="1:6">
      <c r="A8" s="71" t="s">
        <v>187</v>
      </c>
      <c r="B8" s="71" t="s">
        <v>188</v>
      </c>
      <c r="C8" s="71" t="s">
        <v>189</v>
      </c>
      <c r="D8" s="83" t="s">
        <v>190</v>
      </c>
      <c r="E8" s="71" t="s">
        <v>191</v>
      </c>
      <c r="F8" s="71" t="s">
        <v>192</v>
      </c>
    </row>
    <row r="9" ht="22.5" customHeight="1" spans="1:6">
      <c r="A9" s="67" t="s">
        <v>193</v>
      </c>
      <c r="B9" s="67" t="s">
        <v>194</v>
      </c>
      <c r="C9" s="67" t="s">
        <v>195</v>
      </c>
      <c r="D9" s="80" t="s">
        <v>196</v>
      </c>
      <c r="E9" s="67" t="s">
        <v>197</v>
      </c>
      <c r="F9" s="67" t="s">
        <v>198</v>
      </c>
    </row>
    <row r="10" ht="22.5" customHeight="1" spans="1:6">
      <c r="A10" s="71" t="s">
        <v>199</v>
      </c>
      <c r="B10" s="71" t="s">
        <v>200</v>
      </c>
      <c r="C10" s="71" t="s">
        <v>201</v>
      </c>
      <c r="D10" s="83" t="s">
        <v>202</v>
      </c>
      <c r="E10" s="71" t="s">
        <v>203</v>
      </c>
      <c r="F10" s="71" t="s">
        <v>204</v>
      </c>
    </row>
    <row r="11" ht="22.5" customHeight="1" spans="1:6">
      <c r="A11" s="67" t="s">
        <v>205</v>
      </c>
      <c r="B11" s="67" t="s">
        <v>206</v>
      </c>
      <c r="C11" s="67" t="s">
        <v>207</v>
      </c>
      <c r="D11" s="80" t="s">
        <v>208</v>
      </c>
      <c r="E11" s="67" t="s">
        <v>209</v>
      </c>
      <c r="F11" s="67" t="s">
        <v>210</v>
      </c>
    </row>
    <row r="12" ht="22.5" customHeight="1" spans="1:6">
      <c r="A12" s="71" t="s">
        <v>211</v>
      </c>
      <c r="B12" s="71" t="s">
        <v>212</v>
      </c>
      <c r="C12" s="71" t="s">
        <v>213</v>
      </c>
      <c r="D12" s="83" t="s">
        <v>214</v>
      </c>
      <c r="E12" s="71" t="s">
        <v>215</v>
      </c>
      <c r="F12" s="71" t="s">
        <v>216</v>
      </c>
    </row>
    <row r="13" ht="22.5" customHeight="1" spans="1:6">
      <c r="A13" s="67" t="s">
        <v>217</v>
      </c>
      <c r="B13" s="67" t="s">
        <v>218</v>
      </c>
      <c r="C13" s="67" t="s">
        <v>219</v>
      </c>
      <c r="D13" s="80" t="s">
        <v>220</v>
      </c>
      <c r="E13" s="67" t="s">
        <v>221</v>
      </c>
      <c r="F13" s="67" t="s">
        <v>222</v>
      </c>
    </row>
    <row r="14" ht="22.5" customHeight="1" spans="1:6">
      <c r="A14" s="71" t="s">
        <v>223</v>
      </c>
      <c r="B14" s="71" t="s">
        <v>224</v>
      </c>
      <c r="C14" s="71" t="s">
        <v>225</v>
      </c>
      <c r="D14" s="83" t="s">
        <v>226</v>
      </c>
      <c r="E14" s="71" t="s">
        <v>227</v>
      </c>
      <c r="F14" s="71" t="s">
        <v>228</v>
      </c>
    </row>
    <row r="15" ht="22.5" customHeight="1" spans="1:6">
      <c r="A15" s="67" t="s">
        <v>229</v>
      </c>
      <c r="B15" s="67" t="s">
        <v>230</v>
      </c>
      <c r="C15" s="67" t="s">
        <v>231</v>
      </c>
      <c r="D15" s="80" t="s">
        <v>232</v>
      </c>
      <c r="E15" s="67" t="s">
        <v>233</v>
      </c>
      <c r="F15" s="67" t="s">
        <v>234</v>
      </c>
    </row>
    <row r="16" ht="22.5" customHeight="1" spans="1:6">
      <c r="A16" s="71" t="s">
        <v>235</v>
      </c>
      <c r="B16" s="71" t="s">
        <v>236</v>
      </c>
      <c r="C16" s="71" t="s">
        <v>237</v>
      </c>
      <c r="D16" s="83" t="s">
        <v>238</v>
      </c>
      <c r="E16" s="71" t="s">
        <v>239</v>
      </c>
      <c r="F16" s="71" t="s">
        <v>240</v>
      </c>
    </row>
    <row r="17" ht="22.5" customHeight="1" spans="1:6">
      <c r="A17" s="67" t="s">
        <v>241</v>
      </c>
      <c r="B17" s="67" t="s">
        <v>242</v>
      </c>
      <c r="C17" s="67" t="s">
        <v>243</v>
      </c>
      <c r="D17" s="80" t="s">
        <v>244</v>
      </c>
      <c r="E17" s="67" t="s">
        <v>245</v>
      </c>
      <c r="F17" s="67" t="s">
        <v>246</v>
      </c>
    </row>
    <row r="18" ht="22.5" customHeight="1" spans="1:6">
      <c r="A18" s="71" t="s">
        <v>247</v>
      </c>
      <c r="B18" s="71" t="s">
        <v>248</v>
      </c>
      <c r="C18" s="71" t="s">
        <v>249</v>
      </c>
      <c r="D18" s="83" t="s">
        <v>250</v>
      </c>
      <c r="E18" s="71" t="s">
        <v>251</v>
      </c>
      <c r="F18" s="71" t="s">
        <v>252</v>
      </c>
    </row>
    <row r="19" ht="22.5" customHeight="1" spans="1:6">
      <c r="A19" s="67" t="s">
        <v>253</v>
      </c>
      <c r="B19" s="67" t="s">
        <v>254</v>
      </c>
      <c r="C19" s="67" t="s">
        <v>255</v>
      </c>
      <c r="D19" s="80" t="s">
        <v>256</v>
      </c>
      <c r="E19" s="67" t="s">
        <v>257</v>
      </c>
      <c r="F19" s="67" t="s">
        <v>258</v>
      </c>
    </row>
    <row r="20" ht="22.5" customHeight="1" spans="1:6">
      <c r="A20" s="71" t="s">
        <v>259</v>
      </c>
      <c r="B20" s="71" t="s">
        <v>260</v>
      </c>
      <c r="C20" s="71" t="s">
        <v>261</v>
      </c>
      <c r="D20" s="83" t="s">
        <v>262</v>
      </c>
      <c r="E20" s="71" t="s">
        <v>263</v>
      </c>
      <c r="F20" s="71" t="s">
        <v>264</v>
      </c>
    </row>
    <row r="21" ht="22.5" customHeight="1" spans="1:6">
      <c r="A21" s="67" t="s">
        <v>265</v>
      </c>
      <c r="B21" s="67" t="s">
        <v>266</v>
      </c>
      <c r="C21" s="67" t="s">
        <v>267</v>
      </c>
      <c r="D21" s="80" t="s">
        <v>268</v>
      </c>
      <c r="E21" s="67" t="s">
        <v>269</v>
      </c>
      <c r="F21" s="67" t="s">
        <v>270</v>
      </c>
    </row>
    <row r="22" ht="22.5" customHeight="1" spans="1:6">
      <c r="A22" s="71" t="s">
        <v>271</v>
      </c>
      <c r="B22" s="71" t="s">
        <v>272</v>
      </c>
      <c r="C22" s="71" t="s">
        <v>273</v>
      </c>
      <c r="D22" s="83" t="s">
        <v>274</v>
      </c>
      <c r="E22" s="71" t="s">
        <v>275</v>
      </c>
      <c r="F22" s="71" t="s">
        <v>276</v>
      </c>
    </row>
    <row r="23" ht="22.5" customHeight="1" spans="1:6">
      <c r="A23" s="100" t="s">
        <v>61</v>
      </c>
      <c r="B23" s="100" t="s">
        <v>277</v>
      </c>
      <c r="C23" s="100" t="s">
        <v>278</v>
      </c>
      <c r="D23" s="101" t="s">
        <v>279</v>
      </c>
      <c r="E23" s="100" t="s">
        <v>280</v>
      </c>
      <c r="F23" s="100" t="s">
        <v>281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"/>
  <sheetViews>
    <sheetView topLeftCell="A49" workbookViewId="0">
      <selection activeCell="E26" sqref="E26"/>
    </sheetView>
  </sheetViews>
  <sheetFormatPr defaultColWidth="9" defaultRowHeight="13.5"/>
  <cols>
    <col min="1" max="1" width="21.5083333333333" customWidth="1"/>
    <col min="2" max="3" width="26.175" customWidth="1"/>
    <col min="4" max="4" width="27.175" customWidth="1"/>
    <col min="5" max="5" width="16.5083333333333" customWidth="1"/>
    <col min="6" max="6" width="25.5083333333333" customWidth="1"/>
    <col min="7" max="7" width="25.0083333333333" customWidth="1"/>
    <col min="8" max="8" width="26.5083333333333" customWidth="1"/>
    <col min="9" max="9" width="15.0083333333333" customWidth="1"/>
  </cols>
  <sheetData>
    <row r="1" ht="22.5" customHeight="1" spans="1:9">
      <c r="A1" s="64"/>
      <c r="B1" s="36" t="s">
        <v>282</v>
      </c>
      <c r="C1" s="36" t="s">
        <v>283</v>
      </c>
      <c r="D1" s="36" t="s">
        <v>284</v>
      </c>
      <c r="E1" s="36" t="s">
        <v>2</v>
      </c>
      <c r="F1" s="36" t="s">
        <v>285</v>
      </c>
      <c r="G1" s="36" t="s">
        <v>286</v>
      </c>
      <c r="H1" s="36" t="s">
        <v>287</v>
      </c>
      <c r="I1" s="36" t="s">
        <v>288</v>
      </c>
    </row>
    <row r="2" ht="22.5" customHeight="1" spans="1:9">
      <c r="A2" s="65" t="s">
        <v>289</v>
      </c>
      <c r="B2" s="66">
        <v>100</v>
      </c>
      <c r="C2" s="66">
        <v>100</v>
      </c>
      <c r="D2" s="66">
        <v>100</v>
      </c>
      <c r="E2" s="67" t="str">
        <f t="shared" ref="E2:E11" si="0">_xlfn.CONCAT(ROUND(AVERAGE(B2:D2),2),"±",ROUND(_xlfn.STDEV.S(B2:D2),2))</f>
        <v>100±0</v>
      </c>
      <c r="F2" s="68">
        <v>99.99</v>
      </c>
      <c r="G2" s="68">
        <v>99.94</v>
      </c>
      <c r="H2" s="68">
        <v>99.95</v>
      </c>
      <c r="I2" s="67" t="str">
        <f t="shared" ref="I2:I11" si="1">_xlfn.CONCAT(ROUND(AVERAGE(F2:H2),2),"±",ROUND(_xlfn.STDEV.S(F2:H2),2))</f>
        <v>99.96±0.03</v>
      </c>
    </row>
    <row r="3" ht="22.5" customHeight="1" spans="1:9">
      <c r="A3" s="69" t="s">
        <v>290</v>
      </c>
      <c r="B3" s="70">
        <v>97.95</v>
      </c>
      <c r="C3" s="70">
        <v>97.39</v>
      </c>
      <c r="D3" s="70">
        <v>97.35</v>
      </c>
      <c r="E3" s="71" t="str">
        <f t="shared" si="0"/>
        <v>97.56±0.34</v>
      </c>
      <c r="F3" s="72">
        <v>96.17</v>
      </c>
      <c r="G3" s="72">
        <v>95.73</v>
      </c>
      <c r="H3" s="72">
        <v>94.76</v>
      </c>
      <c r="I3" s="71" t="str">
        <f t="shared" si="1"/>
        <v>95.55±0.72</v>
      </c>
    </row>
    <row r="4" ht="22.5" customHeight="1" spans="1:9">
      <c r="A4" s="65" t="s">
        <v>291</v>
      </c>
      <c r="B4" s="66">
        <v>81.89</v>
      </c>
      <c r="C4" s="66">
        <v>87.08</v>
      </c>
      <c r="D4" s="66">
        <v>76.58</v>
      </c>
      <c r="E4" s="67" t="str">
        <f t="shared" si="0"/>
        <v>81.85±5.25</v>
      </c>
      <c r="F4" s="68">
        <v>69.71</v>
      </c>
      <c r="G4" s="68">
        <v>32.82</v>
      </c>
      <c r="H4" s="68">
        <v>69.9</v>
      </c>
      <c r="I4" s="67" t="str">
        <f t="shared" si="1"/>
        <v>57.48±21.35</v>
      </c>
    </row>
    <row r="5" ht="22.5" customHeight="1" spans="1:9">
      <c r="A5" s="69" t="s">
        <v>292</v>
      </c>
      <c r="B5" s="70">
        <v>81.96</v>
      </c>
      <c r="C5" s="70">
        <v>77.82</v>
      </c>
      <c r="D5" s="70">
        <v>94.05</v>
      </c>
      <c r="E5" s="71" t="str">
        <f t="shared" si="0"/>
        <v>84.61±8.43</v>
      </c>
      <c r="F5" s="72">
        <v>65.09</v>
      </c>
      <c r="G5" s="72">
        <v>83.67</v>
      </c>
      <c r="H5" s="72">
        <v>91.37</v>
      </c>
      <c r="I5" s="71" t="str">
        <f t="shared" si="1"/>
        <v>80.04±13.51</v>
      </c>
    </row>
    <row r="6" ht="22.5" customHeight="1" spans="1:9">
      <c r="A6" s="65" t="s">
        <v>293</v>
      </c>
      <c r="B6" s="66">
        <v>100</v>
      </c>
      <c r="C6" s="66">
        <v>100</v>
      </c>
      <c r="D6" s="66">
        <v>100</v>
      </c>
      <c r="E6" s="67" t="str">
        <f t="shared" si="0"/>
        <v>100±0</v>
      </c>
      <c r="F6" s="68">
        <v>100</v>
      </c>
      <c r="G6" s="68">
        <v>100</v>
      </c>
      <c r="H6" s="68">
        <v>100</v>
      </c>
      <c r="I6" s="67" t="str">
        <f t="shared" si="1"/>
        <v>100±0</v>
      </c>
    </row>
    <row r="7" ht="22.5" customHeight="1" spans="1:9">
      <c r="A7" s="69" t="s">
        <v>294</v>
      </c>
      <c r="B7" s="70">
        <v>81.69</v>
      </c>
      <c r="C7" s="70">
        <v>83.08</v>
      </c>
      <c r="D7" s="70">
        <v>92.99</v>
      </c>
      <c r="E7" s="71" t="str">
        <f t="shared" si="0"/>
        <v>85.92±6.16</v>
      </c>
      <c r="F7" s="72">
        <v>84.86</v>
      </c>
      <c r="G7" s="72">
        <v>86.36</v>
      </c>
      <c r="H7" s="72">
        <v>83.38</v>
      </c>
      <c r="I7" s="71" t="str">
        <f t="shared" si="1"/>
        <v>84.87±1.49</v>
      </c>
    </row>
    <row r="8" ht="22.5" customHeight="1" spans="1:9">
      <c r="A8" s="65" t="s">
        <v>295</v>
      </c>
      <c r="B8" s="66">
        <v>62.73</v>
      </c>
      <c r="C8" s="66">
        <v>71.23</v>
      </c>
      <c r="D8" s="66">
        <v>61.03</v>
      </c>
      <c r="E8" s="67" t="str">
        <f t="shared" si="0"/>
        <v>65±5.46</v>
      </c>
      <c r="F8" s="68">
        <v>54.4</v>
      </c>
      <c r="G8" s="68">
        <v>57.58</v>
      </c>
      <c r="H8" s="68">
        <v>50.56</v>
      </c>
      <c r="I8" s="67" t="str">
        <f t="shared" si="1"/>
        <v>54.18±3.52</v>
      </c>
    </row>
    <row r="9" ht="22.5" customHeight="1" spans="1:9">
      <c r="A9" s="69" t="s">
        <v>296</v>
      </c>
      <c r="B9" s="70">
        <v>94.94</v>
      </c>
      <c r="C9" s="70">
        <v>98.53</v>
      </c>
      <c r="D9" s="70">
        <v>95.11</v>
      </c>
      <c r="E9" s="71" t="str">
        <f t="shared" si="0"/>
        <v>96.19±2.03</v>
      </c>
      <c r="F9" s="72">
        <v>94.81</v>
      </c>
      <c r="G9" s="72">
        <v>96.2</v>
      </c>
      <c r="H9" s="72">
        <v>94.76</v>
      </c>
      <c r="I9" s="71" t="str">
        <f t="shared" si="1"/>
        <v>95.26±0.82</v>
      </c>
    </row>
    <row r="10" ht="22.5" customHeight="1" spans="1:9">
      <c r="A10" s="65" t="s">
        <v>297</v>
      </c>
      <c r="B10" s="66">
        <v>91.99</v>
      </c>
      <c r="C10" s="66">
        <v>89.12</v>
      </c>
      <c r="D10" s="66">
        <v>90.86</v>
      </c>
      <c r="E10" s="67" t="str">
        <f t="shared" si="0"/>
        <v>90.66±1.45</v>
      </c>
      <c r="F10" s="68">
        <v>86.81</v>
      </c>
      <c r="G10" s="68">
        <v>85.29</v>
      </c>
      <c r="H10" s="68">
        <v>87.74</v>
      </c>
      <c r="I10" s="67" t="str">
        <f t="shared" si="1"/>
        <v>86.61±1.24</v>
      </c>
    </row>
    <row r="11" ht="22.5" customHeight="1" spans="1:9">
      <c r="A11" s="69" t="s">
        <v>298</v>
      </c>
      <c r="B11" s="70">
        <v>68.16</v>
      </c>
      <c r="C11" s="70">
        <v>70.93</v>
      </c>
      <c r="D11" s="70">
        <v>78.63</v>
      </c>
      <c r="E11" s="71" t="str">
        <f t="shared" si="0"/>
        <v>72.57±5.43</v>
      </c>
      <c r="F11" s="72">
        <v>59.28</v>
      </c>
      <c r="G11" s="72">
        <v>52.03</v>
      </c>
      <c r="H11" s="72">
        <v>55.86</v>
      </c>
      <c r="I11" s="71" t="str">
        <f t="shared" si="1"/>
        <v>55.72±3.63</v>
      </c>
    </row>
    <row r="12" ht="22.5" customHeight="1" spans="1:9">
      <c r="A12" s="73" t="s">
        <v>299</v>
      </c>
      <c r="B12" s="74">
        <v>86.13</v>
      </c>
      <c r="C12" s="74">
        <v>87.52</v>
      </c>
      <c r="D12" s="74">
        <v>88.66</v>
      </c>
      <c r="E12" s="74" t="str">
        <f>_xlfn.CONCAT(ROUND(AVERAGE(B12:D12),2),"±",ROUND(STDEV(B12:D12),2))</f>
        <v>87.44±1.27</v>
      </c>
      <c r="F12" s="74">
        <v>81.11</v>
      </c>
      <c r="G12" s="75">
        <v>78.96</v>
      </c>
      <c r="H12" s="75">
        <v>82.83</v>
      </c>
      <c r="I12" s="74" t="str">
        <f>_xlfn.CONCAT(ROUND(AVERAGE(F12:H12),2),"±",ROUND(STDEV(F12:H12),2))</f>
        <v>80.97±1.94</v>
      </c>
    </row>
    <row r="13" ht="22.5" customHeight="1" spans="1:9">
      <c r="A13" s="57"/>
      <c r="B13" s="54"/>
      <c r="C13" s="54"/>
      <c r="D13" s="54"/>
      <c r="E13" s="54"/>
      <c r="F13" s="54"/>
      <c r="G13" s="54"/>
      <c r="H13" s="54"/>
      <c r="I13" s="76"/>
    </row>
    <row r="14" ht="22.5" customHeight="1" spans="1:9">
      <c r="A14" s="77"/>
      <c r="B14" s="51"/>
      <c r="C14" s="51"/>
      <c r="D14" s="51"/>
      <c r="E14" s="51"/>
      <c r="F14" s="51"/>
      <c r="G14" s="51"/>
      <c r="H14" s="51"/>
      <c r="I14" s="78"/>
    </row>
    <row r="15" ht="22.5" customHeight="1" spans="1:9">
      <c r="A15" s="64"/>
      <c r="B15" s="36" t="s">
        <v>300</v>
      </c>
      <c r="C15" s="36" t="s">
        <v>301</v>
      </c>
      <c r="D15" s="36" t="s">
        <v>302</v>
      </c>
      <c r="E15" s="36" t="s">
        <v>303</v>
      </c>
      <c r="F15" s="36" t="s">
        <v>304</v>
      </c>
      <c r="G15" s="36" t="s">
        <v>305</v>
      </c>
      <c r="H15" s="36" t="s">
        <v>306</v>
      </c>
      <c r="I15" s="36" t="s">
        <v>307</v>
      </c>
    </row>
    <row r="16" ht="22.5" customHeight="1" spans="1:9">
      <c r="A16" s="65" t="s">
        <v>289</v>
      </c>
      <c r="B16" s="79">
        <v>100</v>
      </c>
      <c r="C16" s="79">
        <v>100</v>
      </c>
      <c r="D16" s="79">
        <v>100</v>
      </c>
      <c r="E16" s="80" t="str">
        <f ca="1" t="shared" ref="E16:E26" si="2">_xlfn.CONCAT(ROUND(AVERAGE(B16:E16),2),"±",ROUND(_xlfn.STDEV.S(B16:E16),2))</f>
        <v>100±0</v>
      </c>
      <c r="F16" s="79">
        <v>99.94</v>
      </c>
      <c r="G16" s="79">
        <v>100</v>
      </c>
      <c r="H16" s="79">
        <v>99.98</v>
      </c>
      <c r="I16" s="81" t="str">
        <f t="shared" ref="I16:I26" si="3">_xlfn.CONCAT(ROUND(AVERAGE(F16:H16),2),"±",ROUND(_xlfn.STDEV.S(F16:H16),2))</f>
        <v>99.97±0.03</v>
      </c>
    </row>
    <row r="17" ht="22.5" customHeight="1" spans="1:9">
      <c r="A17" s="69" t="s">
        <v>290</v>
      </c>
      <c r="B17" s="82">
        <v>99</v>
      </c>
      <c r="C17" s="82">
        <v>96.61</v>
      </c>
      <c r="D17" s="82">
        <v>97</v>
      </c>
      <c r="E17" s="83" t="str">
        <f ca="1" t="shared" si="2"/>
        <v>97.54±1.28</v>
      </c>
      <c r="F17" s="82">
        <v>95.67</v>
      </c>
      <c r="G17" s="82">
        <v>94.81</v>
      </c>
      <c r="H17" s="82">
        <v>98.9</v>
      </c>
      <c r="I17" s="84" t="str">
        <f t="shared" si="3"/>
        <v>96.46±2.16</v>
      </c>
    </row>
    <row r="18" ht="22.5" customHeight="1" spans="1:9">
      <c r="A18" s="65" t="s">
        <v>291</v>
      </c>
      <c r="B18" s="79">
        <v>84.96</v>
      </c>
      <c r="C18" s="79">
        <v>86.67</v>
      </c>
      <c r="D18" s="79">
        <v>87.5</v>
      </c>
      <c r="E18" s="80" t="str">
        <f ca="1" t="shared" si="2"/>
        <v>86.38±1.3</v>
      </c>
      <c r="F18" s="79">
        <v>90.49</v>
      </c>
      <c r="G18" s="79">
        <v>85.22</v>
      </c>
      <c r="H18" s="79">
        <v>75.9</v>
      </c>
      <c r="I18" s="81" t="str">
        <f t="shared" si="3"/>
        <v>83.87±7.39</v>
      </c>
    </row>
    <row r="19" ht="22.5" customHeight="1" spans="1:9">
      <c r="A19" s="69" t="s">
        <v>292</v>
      </c>
      <c r="B19" s="82">
        <v>94.05</v>
      </c>
      <c r="C19" s="82">
        <v>77.31</v>
      </c>
      <c r="D19" s="82">
        <v>90.71</v>
      </c>
      <c r="E19" s="83" t="str">
        <f ca="1" t="shared" si="2"/>
        <v>87.36±8.86</v>
      </c>
      <c r="F19" s="82">
        <v>80.41</v>
      </c>
      <c r="G19" s="82">
        <v>96.83</v>
      </c>
      <c r="H19" s="82">
        <v>78.02</v>
      </c>
      <c r="I19" s="84" t="str">
        <f t="shared" si="3"/>
        <v>85.09±10.24</v>
      </c>
    </row>
    <row r="20" ht="22.5" customHeight="1" spans="1:9">
      <c r="A20" s="65" t="s">
        <v>293</v>
      </c>
      <c r="B20" s="79">
        <v>100</v>
      </c>
      <c r="C20" s="79">
        <v>100</v>
      </c>
      <c r="D20" s="79">
        <v>100</v>
      </c>
      <c r="E20" s="80" t="str">
        <f ca="1" t="shared" si="2"/>
        <v>100±0</v>
      </c>
      <c r="F20" s="79">
        <v>100</v>
      </c>
      <c r="G20" s="79">
        <v>100</v>
      </c>
      <c r="H20" s="79">
        <v>100</v>
      </c>
      <c r="I20" s="81" t="str">
        <f t="shared" si="3"/>
        <v>100±0</v>
      </c>
    </row>
    <row r="21" ht="22.5" customHeight="1" spans="1:9">
      <c r="A21" s="69" t="s">
        <v>294</v>
      </c>
      <c r="B21" s="82">
        <v>83.92</v>
      </c>
      <c r="C21" s="82">
        <v>79.46</v>
      </c>
      <c r="D21" s="82">
        <v>83.44</v>
      </c>
      <c r="E21" s="83" t="str">
        <f ca="1" t="shared" si="2"/>
        <v>82.27±2.45</v>
      </c>
      <c r="F21" s="82">
        <v>86.07</v>
      </c>
      <c r="G21" s="82">
        <v>94.45</v>
      </c>
      <c r="H21" s="82">
        <v>90.91</v>
      </c>
      <c r="I21" s="84" t="str">
        <f t="shared" si="3"/>
        <v>90.48±4.21</v>
      </c>
    </row>
    <row r="22" ht="22.5" customHeight="1" spans="1:9">
      <c r="A22" s="65" t="s">
        <v>295</v>
      </c>
      <c r="B22" s="80">
        <v>62.78</v>
      </c>
      <c r="C22" s="79">
        <v>71.3</v>
      </c>
      <c r="D22" s="79">
        <v>59.77</v>
      </c>
      <c r="E22" s="80" t="str">
        <f ca="1" t="shared" si="2"/>
        <v>64.62±5.98</v>
      </c>
      <c r="F22" s="79">
        <v>69.59</v>
      </c>
      <c r="G22" s="79">
        <v>59.26</v>
      </c>
      <c r="H22" s="79">
        <v>59.03</v>
      </c>
      <c r="I22" s="81" t="str">
        <f t="shared" si="3"/>
        <v>62.63±6.03</v>
      </c>
    </row>
    <row r="23" ht="22.5" customHeight="1" spans="1:9">
      <c r="A23" s="69" t="s">
        <v>296</v>
      </c>
      <c r="B23" s="82">
        <v>97.38</v>
      </c>
      <c r="C23" s="82">
        <v>98.26</v>
      </c>
      <c r="D23" s="82">
        <v>93.42</v>
      </c>
      <c r="E23" s="83" t="str">
        <f ca="1" t="shared" si="2"/>
        <v>96.35±2.58</v>
      </c>
      <c r="F23" s="82">
        <v>97.35</v>
      </c>
      <c r="G23" s="82">
        <v>97.1</v>
      </c>
      <c r="H23" s="82">
        <v>96.83</v>
      </c>
      <c r="I23" s="84" t="str">
        <f t="shared" si="3"/>
        <v>97.09±0.26</v>
      </c>
    </row>
    <row r="24" ht="22.5" customHeight="1" spans="1:9">
      <c r="A24" s="65" t="s">
        <v>297</v>
      </c>
      <c r="B24" s="79">
        <v>88.41</v>
      </c>
      <c r="C24" s="79">
        <v>89.61</v>
      </c>
      <c r="D24" s="79">
        <v>91.18</v>
      </c>
      <c r="E24" s="80" t="str">
        <f ca="1" t="shared" si="2"/>
        <v>89.73±1.39</v>
      </c>
      <c r="F24" s="79">
        <v>89.72</v>
      </c>
      <c r="G24" s="79">
        <v>89.54</v>
      </c>
      <c r="H24" s="79">
        <v>89.35</v>
      </c>
      <c r="I24" s="81" t="str">
        <f t="shared" si="3"/>
        <v>89.54±0.19</v>
      </c>
    </row>
    <row r="25" ht="22.5" customHeight="1" spans="1:9">
      <c r="A25" s="69" t="s">
        <v>298</v>
      </c>
      <c r="B25" s="82">
        <v>67.46</v>
      </c>
      <c r="C25" s="82">
        <v>70.74</v>
      </c>
      <c r="D25" s="82">
        <v>62.44</v>
      </c>
      <c r="E25" s="83" t="str">
        <f ca="1" t="shared" si="2"/>
        <v>66.88±4.18</v>
      </c>
      <c r="F25" s="82">
        <v>79.11</v>
      </c>
      <c r="G25" s="82">
        <v>70.68</v>
      </c>
      <c r="H25" s="82">
        <v>69.77</v>
      </c>
      <c r="I25" s="84" t="str">
        <f t="shared" si="3"/>
        <v>73.19±5.15</v>
      </c>
    </row>
    <row r="26" ht="22.5" customHeight="1" spans="1:9">
      <c r="A26" s="73" t="s">
        <v>299</v>
      </c>
      <c r="B26" s="85">
        <v>87.8</v>
      </c>
      <c r="C26" s="79">
        <v>87</v>
      </c>
      <c r="D26" s="79">
        <v>86.55</v>
      </c>
      <c r="E26" s="80" t="str">
        <f ca="1" t="shared" si="2"/>
        <v>87.12±0.63</v>
      </c>
      <c r="F26" s="79">
        <v>88.84</v>
      </c>
      <c r="G26" s="79">
        <v>88.79</v>
      </c>
      <c r="H26" s="79">
        <v>85.87</v>
      </c>
      <c r="I26" s="81" t="str">
        <f t="shared" si="3"/>
        <v>87.83±1.7</v>
      </c>
    </row>
    <row r="27" ht="22.5" customHeight="1" spans="1:9">
      <c r="A27" s="52"/>
      <c r="B27" s="53"/>
      <c r="C27" s="53"/>
      <c r="D27" s="53"/>
      <c r="E27" s="53"/>
      <c r="F27" s="53"/>
      <c r="G27" s="53"/>
      <c r="H27" s="53"/>
      <c r="I27" s="86"/>
    </row>
    <row r="28" ht="22.5" customHeight="1" spans="1:9">
      <c r="A28" s="64"/>
      <c r="B28" s="36" t="s">
        <v>308</v>
      </c>
      <c r="C28" s="36" t="s">
        <v>309</v>
      </c>
      <c r="D28" s="36" t="s">
        <v>310</v>
      </c>
      <c r="E28" s="36" t="s">
        <v>311</v>
      </c>
      <c r="F28" s="36" t="s">
        <v>312</v>
      </c>
      <c r="G28" s="36" t="s">
        <v>313</v>
      </c>
      <c r="H28" s="36" t="s">
        <v>314</v>
      </c>
      <c r="I28" s="36" t="s">
        <v>315</v>
      </c>
    </row>
    <row r="29" ht="22.5" customHeight="1" spans="1:9">
      <c r="A29" s="69" t="s">
        <v>289</v>
      </c>
      <c r="B29" s="82">
        <v>100</v>
      </c>
      <c r="C29" s="82">
        <v>100</v>
      </c>
      <c r="D29" s="82">
        <v>100</v>
      </c>
      <c r="E29" s="83" t="str">
        <f ca="1" t="shared" ref="E29:E39" si="4">_xlfn.CONCAT(ROUND(AVERAGE(B29:E29),2),"±",ROUND(_xlfn.STDEV.S(B29:E29),2))</f>
        <v>100±0</v>
      </c>
      <c r="F29" s="82">
        <v>100</v>
      </c>
      <c r="G29" s="82">
        <v>100</v>
      </c>
      <c r="H29" s="82">
        <v>100</v>
      </c>
      <c r="I29" s="84" t="str">
        <f t="shared" ref="I29:I39" si="5">_xlfn.CONCAT(ROUND(AVERAGE(F29:H29),2),"±",ROUND(_xlfn.STDEV.S(F29:H29),2))</f>
        <v>100±0</v>
      </c>
    </row>
    <row r="30" ht="22.5" customHeight="1" spans="1:9">
      <c r="A30" s="65" t="s">
        <v>290</v>
      </c>
      <c r="B30" s="79">
        <v>95.58</v>
      </c>
      <c r="C30" s="79">
        <v>96.36</v>
      </c>
      <c r="D30" s="79">
        <v>97.1</v>
      </c>
      <c r="E30" s="80" t="str">
        <f ca="1" t="shared" si="4"/>
        <v>96.35±0.76</v>
      </c>
      <c r="F30" s="79">
        <v>98.03</v>
      </c>
      <c r="G30" s="79">
        <v>98.21</v>
      </c>
      <c r="H30" s="79">
        <v>98.1</v>
      </c>
      <c r="I30" s="81" t="str">
        <f t="shared" si="5"/>
        <v>98.11±0.09</v>
      </c>
    </row>
    <row r="31" ht="22.5" customHeight="1" spans="1:9">
      <c r="A31" s="69" t="s">
        <v>291</v>
      </c>
      <c r="B31" s="82">
        <v>88.38</v>
      </c>
      <c r="C31" s="82">
        <v>80.68</v>
      </c>
      <c r="D31" s="82">
        <v>81.25</v>
      </c>
      <c r="E31" s="83" t="str">
        <f ca="1" t="shared" si="4"/>
        <v>83.44±4.29</v>
      </c>
      <c r="F31" s="82">
        <v>91.48</v>
      </c>
      <c r="G31" s="82">
        <v>82.93</v>
      </c>
      <c r="H31" s="82">
        <v>80.38</v>
      </c>
      <c r="I31" s="84" t="str">
        <f t="shared" si="5"/>
        <v>84.93±5.81</v>
      </c>
    </row>
    <row r="32" ht="22.5" customHeight="1" spans="1:9">
      <c r="A32" s="65" t="s">
        <v>292</v>
      </c>
      <c r="B32" s="79">
        <v>89.16</v>
      </c>
      <c r="C32" s="79">
        <v>88.68</v>
      </c>
      <c r="D32" s="79">
        <v>75.18</v>
      </c>
      <c r="E32" s="80" t="str">
        <f ca="1" t="shared" si="4"/>
        <v>84.34±7.94</v>
      </c>
      <c r="F32" s="79">
        <v>83.67</v>
      </c>
      <c r="G32" s="79">
        <v>98.21</v>
      </c>
      <c r="H32" s="79">
        <v>98.21</v>
      </c>
      <c r="I32" s="81" t="str">
        <f t="shared" si="5"/>
        <v>93.36±8.39</v>
      </c>
    </row>
    <row r="33" ht="22.5" customHeight="1" spans="1:9">
      <c r="A33" s="69" t="s">
        <v>293</v>
      </c>
      <c r="B33" s="82">
        <v>100</v>
      </c>
      <c r="C33" s="82">
        <v>99.58</v>
      </c>
      <c r="D33" s="82">
        <v>100</v>
      </c>
      <c r="E33" s="83" t="str">
        <f ca="1" t="shared" si="4"/>
        <v>99.86±0.24</v>
      </c>
      <c r="F33" s="82">
        <v>100</v>
      </c>
      <c r="G33" s="82">
        <v>100</v>
      </c>
      <c r="H33" s="82">
        <v>100</v>
      </c>
      <c r="I33" s="84" t="str">
        <f t="shared" si="5"/>
        <v>100±0</v>
      </c>
    </row>
    <row r="34" ht="22.5" customHeight="1" spans="1:9">
      <c r="A34" s="65" t="s">
        <v>294</v>
      </c>
      <c r="B34" s="79">
        <v>88.74</v>
      </c>
      <c r="C34" s="79">
        <v>89.66</v>
      </c>
      <c r="D34" s="79">
        <v>90.65</v>
      </c>
      <c r="E34" s="80" t="str">
        <f ca="1" t="shared" si="4"/>
        <v>89.68±0.96</v>
      </c>
      <c r="F34" s="79">
        <v>86.02</v>
      </c>
      <c r="G34" s="79">
        <v>79.37</v>
      </c>
      <c r="H34" s="79">
        <v>90.53</v>
      </c>
      <c r="I34" s="81" t="str">
        <f t="shared" si="5"/>
        <v>85.31±5.61</v>
      </c>
    </row>
    <row r="35" ht="22.5" customHeight="1" spans="1:9">
      <c r="A35" s="69" t="s">
        <v>295</v>
      </c>
      <c r="B35" s="82">
        <v>71.05</v>
      </c>
      <c r="C35" s="82">
        <v>63.84</v>
      </c>
      <c r="D35" s="82">
        <v>69.13</v>
      </c>
      <c r="E35" s="83" t="str">
        <f ca="1" t="shared" si="4"/>
        <v>68.01±3.73</v>
      </c>
      <c r="F35" s="82">
        <v>62.16</v>
      </c>
      <c r="G35" s="82">
        <v>69.4</v>
      </c>
      <c r="H35" s="82">
        <v>61.89</v>
      </c>
      <c r="I35" s="84" t="str">
        <f t="shared" si="5"/>
        <v>64.48±4.26</v>
      </c>
    </row>
    <row r="36" ht="22.5" customHeight="1" spans="1:9">
      <c r="A36" s="65" t="s">
        <v>296</v>
      </c>
      <c r="B36" s="79">
        <v>96.72</v>
      </c>
      <c r="C36" s="79">
        <v>96.15</v>
      </c>
      <c r="D36" s="79">
        <v>94.31</v>
      </c>
      <c r="E36" s="80" t="str">
        <f ca="1" t="shared" si="4"/>
        <v>95.73±1.26</v>
      </c>
      <c r="F36" s="79">
        <v>92.45</v>
      </c>
      <c r="G36" s="79">
        <v>98.65</v>
      </c>
      <c r="H36" s="79">
        <v>98.8</v>
      </c>
      <c r="I36" s="81" t="str">
        <f t="shared" si="5"/>
        <v>96.63±3.62</v>
      </c>
    </row>
    <row r="37" ht="22.5" customHeight="1" spans="1:9">
      <c r="A37" s="69" t="s">
        <v>297</v>
      </c>
      <c r="B37" s="82">
        <v>89.26</v>
      </c>
      <c r="C37" s="82">
        <v>89.15</v>
      </c>
      <c r="D37" s="82">
        <v>90.35</v>
      </c>
      <c r="E37" s="83" t="str">
        <f ca="1" t="shared" si="4"/>
        <v>89.59±0.66</v>
      </c>
      <c r="F37" s="82">
        <v>90.19</v>
      </c>
      <c r="G37" s="82">
        <v>90.76</v>
      </c>
      <c r="H37" s="82">
        <v>89.38</v>
      </c>
      <c r="I37" s="84" t="str">
        <f t="shared" si="5"/>
        <v>90.11±0.69</v>
      </c>
    </row>
    <row r="38" ht="22.5" customHeight="1" spans="1:9">
      <c r="A38" s="65" t="s">
        <v>298</v>
      </c>
      <c r="B38" s="79">
        <v>81.65</v>
      </c>
      <c r="C38" s="79">
        <v>81.02</v>
      </c>
      <c r="D38" s="79">
        <v>84.53</v>
      </c>
      <c r="E38" s="80" t="str">
        <f ca="1" t="shared" si="4"/>
        <v>82.4±1.87</v>
      </c>
      <c r="F38" s="79">
        <v>60.42</v>
      </c>
      <c r="G38" s="79">
        <v>72.48</v>
      </c>
      <c r="H38" s="79">
        <v>74.98</v>
      </c>
      <c r="I38" s="81" t="str">
        <f t="shared" si="5"/>
        <v>69.29±7.79</v>
      </c>
    </row>
    <row r="39" ht="22.5" customHeight="1" spans="1:9">
      <c r="A39" s="87" t="s">
        <v>299</v>
      </c>
      <c r="B39" s="82">
        <v>90.05</v>
      </c>
      <c r="C39" s="82">
        <v>88.51</v>
      </c>
      <c r="D39" s="82">
        <v>88.25</v>
      </c>
      <c r="E39" s="83" t="str">
        <f ca="1" t="shared" si="4"/>
        <v>88.94±0.97</v>
      </c>
      <c r="F39" s="82">
        <v>86.44</v>
      </c>
      <c r="G39" s="82">
        <v>89</v>
      </c>
      <c r="H39" s="82">
        <v>89.23</v>
      </c>
      <c r="I39" s="84" t="str">
        <f t="shared" si="5"/>
        <v>88.22±1.55</v>
      </c>
    </row>
    <row r="40" ht="22.5" customHeight="1" spans="1:9">
      <c r="A40" s="49"/>
      <c r="B40" s="50"/>
      <c r="C40" s="50"/>
      <c r="D40" s="50"/>
      <c r="E40" s="50"/>
      <c r="F40" s="50"/>
      <c r="G40" s="50"/>
      <c r="H40" s="50"/>
      <c r="I40" s="88"/>
    </row>
    <row r="41" ht="22.5" customHeight="1" spans="1:9">
      <c r="A41" s="64"/>
      <c r="B41" s="36" t="s">
        <v>316</v>
      </c>
      <c r="C41" s="36" t="s">
        <v>317</v>
      </c>
      <c r="D41" s="36" t="s">
        <v>318</v>
      </c>
      <c r="E41" s="36" t="s">
        <v>319</v>
      </c>
      <c r="F41" s="36" t="s">
        <v>320</v>
      </c>
      <c r="G41" s="36" t="s">
        <v>321</v>
      </c>
      <c r="H41" s="36" t="s">
        <v>322</v>
      </c>
      <c r="I41" s="36" t="s">
        <v>323</v>
      </c>
    </row>
    <row r="42" ht="22.5" customHeight="1" spans="1:9">
      <c r="A42" s="65" t="s">
        <v>289</v>
      </c>
      <c r="B42" s="79">
        <v>100</v>
      </c>
      <c r="C42" s="79">
        <v>100</v>
      </c>
      <c r="D42" s="79">
        <v>100</v>
      </c>
      <c r="E42" s="80" t="str">
        <f ca="1" t="shared" ref="E42:E52" si="6">_xlfn.CONCAT(ROUND(AVERAGE(B42:E42),2),"±",ROUND(_xlfn.STDEV.S(B42:E42),2))</f>
        <v>100±0</v>
      </c>
      <c r="F42" s="68">
        <v>100</v>
      </c>
      <c r="G42" s="68">
        <v>100</v>
      </c>
      <c r="H42" s="68">
        <v>99.99</v>
      </c>
      <c r="I42" s="67" t="str">
        <f t="shared" ref="I42:I51" si="7">_xlfn.CONCAT(ROUND(AVERAGE(F42:H42),2),"±",ROUND(_xlfn.STDEV.S(F42:H42),2))</f>
        <v>100±0.01</v>
      </c>
    </row>
    <row r="43" ht="22.5" customHeight="1" spans="1:9">
      <c r="A43" s="69" t="s">
        <v>290</v>
      </c>
      <c r="B43" s="82">
        <v>96.89</v>
      </c>
      <c r="C43" s="82">
        <v>98.61</v>
      </c>
      <c r="D43" s="82">
        <v>97.06</v>
      </c>
      <c r="E43" s="83" t="str">
        <f ca="1" t="shared" si="6"/>
        <v>97.52±0.95</v>
      </c>
      <c r="F43" s="72">
        <v>98.85</v>
      </c>
      <c r="G43" s="72">
        <v>99.19</v>
      </c>
      <c r="H43" s="72">
        <v>96.25</v>
      </c>
      <c r="I43" s="71" t="str">
        <f t="shared" si="7"/>
        <v>98.1±1.61</v>
      </c>
    </row>
    <row r="44" ht="22.5" customHeight="1" spans="1:9">
      <c r="A44" s="65" t="s">
        <v>291</v>
      </c>
      <c r="B44" s="79">
        <v>72.6</v>
      </c>
      <c r="C44" s="79">
        <v>81.15</v>
      </c>
      <c r="D44" s="79">
        <v>75</v>
      </c>
      <c r="E44" s="80" t="str">
        <f ca="1" t="shared" si="6"/>
        <v>76.25±4.41</v>
      </c>
      <c r="F44" s="68">
        <v>86.4</v>
      </c>
      <c r="G44" s="68">
        <v>89.3</v>
      </c>
      <c r="H44" s="68">
        <v>74.31</v>
      </c>
      <c r="I44" s="67" t="str">
        <f t="shared" si="7"/>
        <v>83.34±7.95</v>
      </c>
    </row>
    <row r="45" ht="22.5" customHeight="1" spans="1:9">
      <c r="A45" s="69" t="s">
        <v>292</v>
      </c>
      <c r="B45" s="82">
        <v>68.01</v>
      </c>
      <c r="C45" s="82">
        <v>78.57</v>
      </c>
      <c r="D45" s="82">
        <v>79.76</v>
      </c>
      <c r="E45" s="83" t="str">
        <f ca="1" t="shared" si="6"/>
        <v>75.45±6.47</v>
      </c>
      <c r="F45" s="72">
        <v>88.89</v>
      </c>
      <c r="G45" s="72">
        <v>59.88</v>
      </c>
      <c r="H45" s="72">
        <v>94.81</v>
      </c>
      <c r="I45" s="71" t="str">
        <f t="shared" si="7"/>
        <v>81.19±18.69</v>
      </c>
    </row>
    <row r="46" ht="22.5" customHeight="1" spans="1:9">
      <c r="A46" s="65" t="s">
        <v>293</v>
      </c>
      <c r="B46" s="79">
        <v>100</v>
      </c>
      <c r="C46" s="79">
        <v>100</v>
      </c>
      <c r="D46" s="79">
        <v>100</v>
      </c>
      <c r="E46" s="80" t="str">
        <f ca="1" t="shared" si="6"/>
        <v>100±0</v>
      </c>
      <c r="F46" s="68">
        <v>99.58</v>
      </c>
      <c r="G46" s="68">
        <v>99.58</v>
      </c>
      <c r="H46" s="68">
        <v>100</v>
      </c>
      <c r="I46" s="67" t="str">
        <f t="shared" si="7"/>
        <v>99.72±0.24</v>
      </c>
    </row>
    <row r="47" ht="22.5" customHeight="1" spans="1:9">
      <c r="A47" s="69" t="s">
        <v>294</v>
      </c>
      <c r="B47" s="82">
        <v>82.53</v>
      </c>
      <c r="C47" s="82">
        <v>80.26</v>
      </c>
      <c r="D47" s="82">
        <v>93.46</v>
      </c>
      <c r="E47" s="83" t="str">
        <f ca="1" t="shared" si="6"/>
        <v>85.42±7.06</v>
      </c>
      <c r="F47" s="72">
        <v>82.31</v>
      </c>
      <c r="G47" s="72">
        <v>88.37</v>
      </c>
      <c r="H47" s="72">
        <v>82.8</v>
      </c>
      <c r="I47" s="71" t="str">
        <f t="shared" si="7"/>
        <v>84.49±3.37</v>
      </c>
    </row>
    <row r="48" ht="22.5" customHeight="1" spans="1:9">
      <c r="A48" s="65" t="s">
        <v>295</v>
      </c>
      <c r="B48" s="79">
        <v>66.41</v>
      </c>
      <c r="C48" s="79">
        <v>64.55</v>
      </c>
      <c r="D48" s="79">
        <v>63.23</v>
      </c>
      <c r="E48" s="80" t="str">
        <f ca="1" t="shared" si="6"/>
        <v>64.73±1.6</v>
      </c>
      <c r="F48" s="68">
        <v>73.9</v>
      </c>
      <c r="G48" s="68">
        <v>69.78</v>
      </c>
      <c r="H48" s="68">
        <v>65.51</v>
      </c>
      <c r="I48" s="67" t="str">
        <f t="shared" si="7"/>
        <v>69.73±4.2</v>
      </c>
    </row>
    <row r="49" ht="22.5" customHeight="1" spans="1:9">
      <c r="A49" s="69" t="s">
        <v>296</v>
      </c>
      <c r="B49" s="82">
        <v>99.17</v>
      </c>
      <c r="C49" s="82">
        <v>96.76</v>
      </c>
      <c r="D49" s="82">
        <v>95.2</v>
      </c>
      <c r="E49" s="83" t="str">
        <f ca="1" t="shared" si="6"/>
        <v>97.04±2</v>
      </c>
      <c r="F49" s="72">
        <v>97.28</v>
      </c>
      <c r="G49" s="72">
        <v>97.44</v>
      </c>
      <c r="H49" s="72">
        <v>97.22</v>
      </c>
      <c r="I49" s="71" t="str">
        <f t="shared" si="7"/>
        <v>97.31±0.11</v>
      </c>
    </row>
    <row r="50" ht="22.5" customHeight="1" spans="1:9">
      <c r="A50" s="65" t="s">
        <v>297</v>
      </c>
      <c r="B50" s="79">
        <v>90.64</v>
      </c>
      <c r="C50" s="79">
        <v>89.23</v>
      </c>
      <c r="D50" s="79">
        <v>90.38</v>
      </c>
      <c r="E50" s="80" t="str">
        <f ca="1" t="shared" si="6"/>
        <v>90.08±0.75</v>
      </c>
      <c r="F50" s="68">
        <v>89.26</v>
      </c>
      <c r="G50" s="68">
        <v>92.51</v>
      </c>
      <c r="H50" s="68">
        <v>85.9</v>
      </c>
      <c r="I50" s="67" t="str">
        <f t="shared" si="7"/>
        <v>89.22±3.31</v>
      </c>
    </row>
    <row r="51" ht="22.5" customHeight="1" spans="1:9">
      <c r="A51" s="69" t="s">
        <v>298</v>
      </c>
      <c r="B51" s="82">
        <v>73.91</v>
      </c>
      <c r="C51" s="82">
        <v>76.32</v>
      </c>
      <c r="D51" s="82">
        <v>67.23</v>
      </c>
      <c r="E51" s="83" t="str">
        <f ca="1" t="shared" si="6"/>
        <v>72.49±4.71</v>
      </c>
      <c r="F51" s="72">
        <v>81.54</v>
      </c>
      <c r="G51" s="72">
        <v>79.61</v>
      </c>
      <c r="H51" s="72">
        <v>76.57</v>
      </c>
      <c r="I51" s="71" t="str">
        <f t="shared" si="7"/>
        <v>79.24±2.51</v>
      </c>
    </row>
    <row r="52" ht="22.5" customHeight="1" spans="1:9">
      <c r="A52" s="73" t="s">
        <v>299</v>
      </c>
      <c r="B52" s="79">
        <v>85.02</v>
      </c>
      <c r="C52" s="79">
        <v>86.54</v>
      </c>
      <c r="D52" s="79">
        <v>86.13</v>
      </c>
      <c r="E52" s="80" t="str">
        <f ca="1" t="shared" si="6"/>
        <v>85.9±0.79</v>
      </c>
      <c r="F52" s="74">
        <v>89.8</v>
      </c>
      <c r="G52" s="75">
        <v>87.57</v>
      </c>
      <c r="H52" s="75">
        <v>87.34</v>
      </c>
      <c r="I52" s="74" t="str">
        <f>_xlfn.CONCAT(ROUND(AVERAGE(F52:H52),2),"±",ROUND(STDEV(F52:H52),2))</f>
        <v>88.24±1.36</v>
      </c>
    </row>
    <row r="53" ht="22.5" customHeight="1" spans="1:9">
      <c r="A53" s="52"/>
      <c r="B53" s="53"/>
      <c r="C53" s="53"/>
      <c r="D53" s="53"/>
      <c r="E53" s="53"/>
      <c r="F53" s="53"/>
      <c r="G53" s="53"/>
      <c r="H53" s="53"/>
      <c r="I53" s="86"/>
    </row>
    <row r="54" ht="22.5" customHeight="1" spans="1:9">
      <c r="A54" s="49"/>
      <c r="B54" s="50"/>
      <c r="C54" s="50"/>
      <c r="D54" s="50"/>
      <c r="E54" s="50"/>
      <c r="F54" s="50"/>
      <c r="G54" s="50"/>
      <c r="H54" s="50"/>
      <c r="I54" s="88"/>
    </row>
    <row r="55" ht="22.5" customHeight="1" spans="1:9">
      <c r="A55" s="64"/>
      <c r="B55" s="36" t="s">
        <v>324</v>
      </c>
      <c r="C55" s="36" t="s">
        <v>325</v>
      </c>
      <c r="D55" s="36" t="s">
        <v>326</v>
      </c>
      <c r="E55" s="36" t="s">
        <v>327</v>
      </c>
      <c r="F55" s="36" t="s">
        <v>328</v>
      </c>
      <c r="G55" s="36" t="s">
        <v>329</v>
      </c>
      <c r="H55" s="36" t="s">
        <v>330</v>
      </c>
      <c r="I55" s="36" t="s">
        <v>331</v>
      </c>
    </row>
    <row r="56" ht="22.5" customHeight="1" spans="1:9">
      <c r="A56" s="65" t="s">
        <v>289</v>
      </c>
      <c r="B56" s="79">
        <v>100</v>
      </c>
      <c r="C56" s="79">
        <v>100</v>
      </c>
      <c r="D56" s="79">
        <v>100</v>
      </c>
      <c r="E56" s="80" t="str">
        <f ca="1" t="shared" ref="E56:E66" si="8">_xlfn.CONCAT(ROUND(AVERAGE(B56:E56),2),"±",ROUND(_xlfn.STDEV.S(B56:E56),2))</f>
        <v>100±0</v>
      </c>
      <c r="F56" s="79">
        <v>100</v>
      </c>
      <c r="G56" s="79">
        <v>100</v>
      </c>
      <c r="H56" s="79">
        <v>100</v>
      </c>
      <c r="I56" s="81" t="str">
        <f t="shared" ref="I56:I66" si="9">_xlfn.CONCAT(ROUND(AVERAGE(F56:H56),2),"±",ROUND(_xlfn.STDEV.S(F56:H56),2))</f>
        <v>100±0</v>
      </c>
    </row>
    <row r="57" ht="22.5" customHeight="1" spans="1:9">
      <c r="A57" s="69" t="s">
        <v>290</v>
      </c>
      <c r="B57" s="82">
        <v>98.61</v>
      </c>
      <c r="C57" s="82">
        <v>97.12</v>
      </c>
      <c r="D57" s="82">
        <v>96.36</v>
      </c>
      <c r="E57" s="83" t="str">
        <f ca="1" t="shared" si="8"/>
        <v>97.36±1.14</v>
      </c>
      <c r="F57" s="82">
        <v>99.37</v>
      </c>
      <c r="G57" s="82">
        <v>98.1</v>
      </c>
      <c r="H57" s="82">
        <v>99.21</v>
      </c>
      <c r="I57" s="84" t="str">
        <f t="shared" si="9"/>
        <v>98.89±0.69</v>
      </c>
    </row>
    <row r="58" ht="22.5" customHeight="1" spans="1:9">
      <c r="A58" s="65" t="s">
        <v>291</v>
      </c>
      <c r="B58" s="79">
        <v>92.19</v>
      </c>
      <c r="C58" s="79">
        <v>93.01</v>
      </c>
      <c r="D58" s="79">
        <v>81.58</v>
      </c>
      <c r="E58" s="80" t="str">
        <f ca="1" t="shared" si="8"/>
        <v>88.93±6.38</v>
      </c>
      <c r="F58" s="79">
        <v>89.76</v>
      </c>
      <c r="G58" s="79">
        <v>84.12</v>
      </c>
      <c r="H58" s="79">
        <v>79.85</v>
      </c>
      <c r="I58" s="81" t="str">
        <f t="shared" si="9"/>
        <v>84.58±4.97</v>
      </c>
    </row>
    <row r="59" ht="22.5" customHeight="1" spans="1:9">
      <c r="A59" s="69" t="s">
        <v>292</v>
      </c>
      <c r="B59" s="82">
        <v>69.29</v>
      </c>
      <c r="C59" s="82">
        <v>82.44</v>
      </c>
      <c r="D59" s="82">
        <v>69.39</v>
      </c>
      <c r="E59" s="83" t="str">
        <f ca="1" t="shared" si="8"/>
        <v>73.71±7.56</v>
      </c>
      <c r="F59" s="82">
        <v>70.2</v>
      </c>
      <c r="G59" s="82">
        <v>68.78</v>
      </c>
      <c r="H59" s="82">
        <v>90.26</v>
      </c>
      <c r="I59" s="84" t="str">
        <f t="shared" si="9"/>
        <v>76.41±12.01</v>
      </c>
    </row>
    <row r="60" ht="22.5" customHeight="1" spans="1:9">
      <c r="A60" s="65" t="s">
        <v>293</v>
      </c>
      <c r="B60" s="79">
        <v>100</v>
      </c>
      <c r="C60" s="79">
        <v>100</v>
      </c>
      <c r="D60" s="79">
        <v>100</v>
      </c>
      <c r="E60" s="80" t="str">
        <f ca="1" t="shared" si="8"/>
        <v>100±0</v>
      </c>
      <c r="F60" s="79">
        <v>100</v>
      </c>
      <c r="G60" s="79">
        <v>100</v>
      </c>
      <c r="H60" s="79">
        <v>99.22</v>
      </c>
      <c r="I60" s="81" t="str">
        <f t="shared" si="9"/>
        <v>99.74±0.45</v>
      </c>
    </row>
    <row r="61" ht="22.5" customHeight="1" spans="1:9">
      <c r="A61" s="69" t="s">
        <v>294</v>
      </c>
      <c r="B61" s="82">
        <v>78.99</v>
      </c>
      <c r="C61" s="82">
        <v>85.49</v>
      </c>
      <c r="D61" s="82">
        <v>83.77</v>
      </c>
      <c r="E61" s="83" t="str">
        <f ca="1" t="shared" si="8"/>
        <v>82.75±3.37</v>
      </c>
      <c r="F61" s="82">
        <v>89.99</v>
      </c>
      <c r="G61" s="82">
        <v>84.54</v>
      </c>
      <c r="H61" s="82">
        <v>89.62</v>
      </c>
      <c r="I61" s="84" t="str">
        <f t="shared" si="9"/>
        <v>88.05±3.05</v>
      </c>
    </row>
    <row r="62" ht="22.5" customHeight="1" spans="1:9">
      <c r="A62" s="65" t="s">
        <v>295</v>
      </c>
      <c r="B62" s="79">
        <v>64.75</v>
      </c>
      <c r="C62" s="79">
        <v>60.75</v>
      </c>
      <c r="D62" s="79">
        <v>65.56</v>
      </c>
      <c r="E62" s="80" t="str">
        <f ca="1" t="shared" si="8"/>
        <v>63.69±2.58</v>
      </c>
      <c r="F62" s="79">
        <v>70.53</v>
      </c>
      <c r="G62" s="79">
        <v>68.58</v>
      </c>
      <c r="H62" s="79">
        <v>58.46</v>
      </c>
      <c r="I62" s="81" t="str">
        <f t="shared" si="9"/>
        <v>65.86±6.48</v>
      </c>
    </row>
    <row r="63" ht="22.5" customHeight="1" spans="1:9">
      <c r="A63" s="69" t="s">
        <v>296</v>
      </c>
      <c r="B63" s="82">
        <v>94.6</v>
      </c>
      <c r="C63" s="82">
        <v>98.92</v>
      </c>
      <c r="D63" s="82">
        <v>94.08</v>
      </c>
      <c r="E63" s="83" t="str">
        <f ca="1" t="shared" si="8"/>
        <v>95.87±2.66</v>
      </c>
      <c r="F63" s="82">
        <v>95.42</v>
      </c>
      <c r="G63" s="82">
        <v>98.92</v>
      </c>
      <c r="H63" s="82">
        <v>98.11</v>
      </c>
      <c r="I63" s="84" t="str">
        <f t="shared" si="9"/>
        <v>97.48±1.83</v>
      </c>
    </row>
    <row r="64" ht="22.5" customHeight="1" spans="1:9">
      <c r="A64" s="65" t="s">
        <v>297</v>
      </c>
      <c r="B64" s="79">
        <v>89.56</v>
      </c>
      <c r="C64" s="79">
        <v>90.61</v>
      </c>
      <c r="D64" s="79">
        <v>89.49</v>
      </c>
      <c r="E64" s="80" t="str">
        <f ca="1" t="shared" si="8"/>
        <v>89.89±0.63</v>
      </c>
      <c r="F64" s="79">
        <v>90.9</v>
      </c>
      <c r="G64" s="79">
        <v>88.91</v>
      </c>
      <c r="H64" s="79">
        <v>90.51</v>
      </c>
      <c r="I64" s="81" t="str">
        <f t="shared" si="9"/>
        <v>90.11±1.05</v>
      </c>
    </row>
    <row r="65" ht="22.5" customHeight="1" spans="1:9">
      <c r="A65" s="69" t="s">
        <v>298</v>
      </c>
      <c r="B65" s="82">
        <v>69.3</v>
      </c>
      <c r="C65" s="82">
        <v>72.34</v>
      </c>
      <c r="D65" s="89">
        <v>62.8</v>
      </c>
      <c r="E65" s="83" t="str">
        <f ca="1" t="shared" si="8"/>
        <v>68.15±4.87</v>
      </c>
      <c r="F65" s="82">
        <v>68.74</v>
      </c>
      <c r="G65" s="82">
        <v>69.29</v>
      </c>
      <c r="H65" s="82">
        <v>68.74</v>
      </c>
      <c r="I65" s="84" t="str">
        <f t="shared" si="9"/>
        <v>68.92±0.32</v>
      </c>
    </row>
    <row r="66" ht="22.5" customHeight="1" spans="1:9">
      <c r="A66" s="73" t="s">
        <v>299</v>
      </c>
      <c r="B66" s="79">
        <v>85.73</v>
      </c>
      <c r="C66" s="79">
        <v>88.07</v>
      </c>
      <c r="D66" s="85">
        <v>84.3</v>
      </c>
      <c r="E66" s="80" t="str">
        <f ca="1" t="shared" si="8"/>
        <v>86.03±1.9</v>
      </c>
      <c r="F66" s="79">
        <v>87.49</v>
      </c>
      <c r="G66" s="79">
        <v>86.12</v>
      </c>
      <c r="H66" s="85">
        <v>87.4</v>
      </c>
      <c r="I66" s="81" t="str">
        <f t="shared" si="9"/>
        <v>87±0.77</v>
      </c>
    </row>
    <row r="67" ht="22.5" customHeight="1" spans="1:9">
      <c r="A67" s="57"/>
      <c r="B67" s="54"/>
      <c r="C67" s="54"/>
      <c r="D67" s="54"/>
      <c r="E67" s="54"/>
      <c r="F67" s="54"/>
      <c r="G67" s="54"/>
      <c r="H67" s="54"/>
      <c r="I67" s="76"/>
    </row>
    <row r="68" ht="22.5" customHeight="1" spans="1:9">
      <c r="A68" s="64"/>
      <c r="B68" s="36" t="s">
        <v>332</v>
      </c>
      <c r="C68" s="36" t="s">
        <v>333</v>
      </c>
      <c r="D68" s="36" t="s">
        <v>334</v>
      </c>
      <c r="E68" s="36" t="s">
        <v>335</v>
      </c>
      <c r="F68" s="90"/>
      <c r="G68" s="90"/>
      <c r="H68" s="90"/>
      <c r="I68" s="91"/>
    </row>
    <row r="69" ht="22.5" customHeight="1" spans="1:9">
      <c r="A69" s="69" t="s">
        <v>289</v>
      </c>
      <c r="B69" s="70">
        <v>100</v>
      </c>
      <c r="C69" s="70">
        <v>99.99</v>
      </c>
      <c r="D69" s="70">
        <v>100</v>
      </c>
      <c r="E69" s="71" t="str">
        <f ca="1" t="shared" ref="E69:E78" si="10">_xlfn.CONCAT(ROUND(AVERAGE(B69:E69),2),"±",ROUND(_xlfn.STDEV.S(B69:E69),2))</f>
        <v>100±0.01</v>
      </c>
      <c r="F69" s="92"/>
      <c r="G69" s="92"/>
      <c r="H69" s="92"/>
      <c r="I69" s="93"/>
    </row>
    <row r="70" ht="22.5" customHeight="1" spans="1:9">
      <c r="A70" s="65" t="s">
        <v>290</v>
      </c>
      <c r="B70" s="66">
        <v>96.16</v>
      </c>
      <c r="C70" s="66">
        <v>96.63</v>
      </c>
      <c r="D70" s="66">
        <v>97.9</v>
      </c>
      <c r="E70" s="67" t="str">
        <f ca="1" t="shared" si="10"/>
        <v>96.9±0.9</v>
      </c>
      <c r="F70" s="90"/>
      <c r="G70" s="90"/>
      <c r="H70" s="90"/>
      <c r="I70" s="91"/>
    </row>
    <row r="71" ht="22.5" customHeight="1" spans="1:9">
      <c r="A71" s="69" t="s">
        <v>291</v>
      </c>
      <c r="B71" s="70">
        <v>79.2</v>
      </c>
      <c r="C71" s="70">
        <v>87.5</v>
      </c>
      <c r="D71" s="70">
        <v>83.72</v>
      </c>
      <c r="E71" s="71" t="str">
        <f ca="1" t="shared" si="10"/>
        <v>83.47±4.16</v>
      </c>
      <c r="F71" s="92"/>
      <c r="G71" s="92"/>
      <c r="H71" s="92"/>
      <c r="I71" s="93"/>
    </row>
    <row r="72" ht="22.5" customHeight="1" spans="1:9">
      <c r="A72" s="65" t="s">
        <v>292</v>
      </c>
      <c r="B72" s="66">
        <v>98.21</v>
      </c>
      <c r="C72" s="66">
        <v>85.71</v>
      </c>
      <c r="D72" s="66">
        <v>89.29</v>
      </c>
      <c r="E72" s="67" t="str">
        <f ca="1" t="shared" si="10"/>
        <v>91.07±6.44</v>
      </c>
      <c r="F72" s="90"/>
      <c r="G72" s="90"/>
      <c r="H72" s="90"/>
      <c r="I72" s="91"/>
    </row>
    <row r="73" ht="22.5" customHeight="1" spans="1:9">
      <c r="A73" s="69" t="s">
        <v>293</v>
      </c>
      <c r="B73" s="70">
        <v>100</v>
      </c>
      <c r="C73" s="70">
        <v>100</v>
      </c>
      <c r="D73" s="70">
        <v>100</v>
      </c>
      <c r="E73" s="71" t="str">
        <f ca="1" t="shared" si="10"/>
        <v>100±0</v>
      </c>
      <c r="F73" s="92"/>
      <c r="G73" s="92"/>
      <c r="H73" s="92"/>
      <c r="I73" s="93"/>
    </row>
    <row r="74" ht="22.5" customHeight="1" spans="1:9">
      <c r="A74" s="65" t="s">
        <v>294</v>
      </c>
      <c r="B74" s="66">
        <v>92.02</v>
      </c>
      <c r="C74" s="66">
        <v>86.34</v>
      </c>
      <c r="D74" s="66">
        <v>95.05</v>
      </c>
      <c r="E74" s="67" t="str">
        <f ca="1" t="shared" si="10"/>
        <v>91.14±4.42</v>
      </c>
      <c r="F74" s="90"/>
      <c r="G74" s="90"/>
      <c r="H74" s="90"/>
      <c r="I74" s="91"/>
    </row>
    <row r="75" ht="22.5" customHeight="1" spans="1:9">
      <c r="A75" s="69" t="s">
        <v>295</v>
      </c>
      <c r="B75" s="70">
        <v>65.82</v>
      </c>
      <c r="C75" s="70">
        <v>62.13</v>
      </c>
      <c r="D75" s="70">
        <v>73.17</v>
      </c>
      <c r="E75" s="71" t="str">
        <f ca="1" t="shared" si="10"/>
        <v>67.04±5.62</v>
      </c>
      <c r="F75" s="92"/>
      <c r="G75" s="92"/>
      <c r="H75" s="92"/>
      <c r="I75" s="93"/>
    </row>
    <row r="76" ht="22.5" customHeight="1" spans="1:9">
      <c r="A76" s="65" t="s">
        <v>296</v>
      </c>
      <c r="B76" s="66">
        <v>94.69</v>
      </c>
      <c r="C76" s="66">
        <v>98.08</v>
      </c>
      <c r="D76" s="66">
        <v>96.47</v>
      </c>
      <c r="E76" s="67" t="str">
        <f ca="1" t="shared" si="10"/>
        <v>96.41±1.7</v>
      </c>
      <c r="F76" s="90"/>
      <c r="G76" s="90"/>
      <c r="H76" s="90"/>
      <c r="I76" s="91"/>
    </row>
    <row r="77" ht="22.5" customHeight="1" spans="1:9">
      <c r="A77" s="69" t="s">
        <v>297</v>
      </c>
      <c r="B77" s="70">
        <v>90.9</v>
      </c>
      <c r="C77" s="70">
        <v>90.35</v>
      </c>
      <c r="D77" s="70">
        <v>89.88</v>
      </c>
      <c r="E77" s="71" t="str">
        <f ca="1" t="shared" si="10"/>
        <v>90.38±0.51</v>
      </c>
      <c r="F77" s="92"/>
      <c r="G77" s="92"/>
      <c r="H77" s="92"/>
      <c r="I77" s="93"/>
    </row>
    <row r="78" ht="22.5" customHeight="1" spans="1:9">
      <c r="A78" s="65" t="s">
        <v>298</v>
      </c>
      <c r="B78" s="66">
        <v>83.24</v>
      </c>
      <c r="C78" s="66">
        <v>81.89</v>
      </c>
      <c r="D78" s="66">
        <v>78.86</v>
      </c>
      <c r="E78" s="67" t="str">
        <f ca="1" t="shared" si="10"/>
        <v>81.33±2.24</v>
      </c>
      <c r="F78" s="90"/>
      <c r="G78" s="90"/>
      <c r="H78" s="90"/>
      <c r="I78" s="91"/>
    </row>
    <row r="79" ht="22.5" customHeight="1" spans="1:9">
      <c r="A79" s="94" t="s">
        <v>299</v>
      </c>
      <c r="B79" s="95">
        <v>90.02</v>
      </c>
      <c r="C79" s="95">
        <v>88.86</v>
      </c>
      <c r="D79" s="95">
        <v>90.43</v>
      </c>
      <c r="E79" s="95" t="str">
        <f ca="1">_xlfn.CONCAT(ROUND(AVERAGE(B79:E79),2),"±",ROUND(STDEV(B79:E79),2))</f>
        <v>89.77±0.81</v>
      </c>
      <c r="F79" s="96"/>
      <c r="G79" s="96"/>
      <c r="H79" s="96"/>
      <c r="I79" s="97"/>
    </row>
  </sheetData>
  <conditionalFormatting sqref="A2">
    <cfRule type="top10" dxfId="0" priority="180" rank="3"/>
    <cfRule type="top10" dxfId="1" priority="179" rank="3"/>
    <cfRule type="top10" dxfId="2" priority="178" rank="3"/>
  </conditionalFormatting>
  <conditionalFormatting sqref="A3">
    <cfRule type="top10" dxfId="0" priority="177" rank="3"/>
    <cfRule type="top10" dxfId="1" priority="176" rank="3"/>
    <cfRule type="top10" dxfId="2" priority="175" rank="3"/>
  </conditionalFormatting>
  <conditionalFormatting sqref="A4">
    <cfRule type="top10" dxfId="0" priority="174" rank="3"/>
    <cfRule type="top10" dxfId="1" priority="173" rank="3"/>
    <cfRule type="top10" dxfId="2" priority="172" rank="3"/>
  </conditionalFormatting>
  <conditionalFormatting sqref="A5">
    <cfRule type="top10" dxfId="0" priority="171" rank="3"/>
    <cfRule type="top10" dxfId="1" priority="170" rank="3"/>
    <cfRule type="top10" dxfId="2" priority="169" rank="3"/>
  </conditionalFormatting>
  <conditionalFormatting sqref="A6">
    <cfRule type="top10" dxfId="0" priority="168" rank="3"/>
    <cfRule type="top10" dxfId="1" priority="167" rank="3"/>
    <cfRule type="top10" dxfId="2" priority="166" rank="3"/>
  </conditionalFormatting>
  <conditionalFormatting sqref="A7">
    <cfRule type="top10" dxfId="0" priority="165" rank="3"/>
    <cfRule type="top10" dxfId="1" priority="164" rank="3"/>
    <cfRule type="top10" dxfId="2" priority="163" rank="3"/>
  </conditionalFormatting>
  <conditionalFormatting sqref="A8">
    <cfRule type="top10" dxfId="0" priority="162" rank="3"/>
    <cfRule type="top10" dxfId="1" priority="161" rank="3"/>
    <cfRule type="top10" dxfId="2" priority="160" rank="3"/>
  </conditionalFormatting>
  <conditionalFormatting sqref="A9">
    <cfRule type="top10" dxfId="0" priority="159" rank="3"/>
    <cfRule type="top10" dxfId="1" priority="158" rank="3"/>
    <cfRule type="top10" dxfId="2" priority="157" rank="3"/>
  </conditionalFormatting>
  <conditionalFormatting sqref="A10">
    <cfRule type="top10" dxfId="0" priority="156" rank="3"/>
    <cfRule type="top10" dxfId="1" priority="155" rank="3"/>
    <cfRule type="top10" dxfId="2" priority="154" rank="3"/>
  </conditionalFormatting>
  <conditionalFormatting sqref="A11">
    <cfRule type="top10" dxfId="0" priority="153" rank="3"/>
    <cfRule type="top10" dxfId="1" priority="152" rank="3"/>
    <cfRule type="top10" dxfId="2" priority="151" rank="3"/>
  </conditionalFormatting>
  <conditionalFormatting sqref="A16">
    <cfRule type="top10" dxfId="0" priority="150" rank="3"/>
    <cfRule type="top10" dxfId="1" priority="149" rank="3"/>
    <cfRule type="top10" dxfId="2" priority="148" rank="3"/>
  </conditionalFormatting>
  <conditionalFormatting sqref="A17">
    <cfRule type="top10" dxfId="0" priority="147" rank="3"/>
    <cfRule type="top10" dxfId="1" priority="146" rank="3"/>
    <cfRule type="top10" dxfId="2" priority="145" rank="3"/>
  </conditionalFormatting>
  <conditionalFormatting sqref="A18">
    <cfRule type="top10" dxfId="0" priority="144" rank="3"/>
    <cfRule type="top10" dxfId="1" priority="143" rank="3"/>
    <cfRule type="top10" dxfId="2" priority="142" rank="3"/>
  </conditionalFormatting>
  <conditionalFormatting sqref="A19">
    <cfRule type="top10" dxfId="0" priority="141" rank="3"/>
    <cfRule type="top10" dxfId="1" priority="140" rank="3"/>
    <cfRule type="top10" dxfId="2" priority="139" rank="3"/>
  </conditionalFormatting>
  <conditionalFormatting sqref="A20">
    <cfRule type="top10" dxfId="0" priority="138" rank="3"/>
    <cfRule type="top10" dxfId="1" priority="137" rank="3"/>
    <cfRule type="top10" dxfId="2" priority="136" rank="3"/>
  </conditionalFormatting>
  <conditionalFormatting sqref="A21">
    <cfRule type="top10" dxfId="0" priority="135" rank="3"/>
    <cfRule type="top10" dxfId="1" priority="134" rank="3"/>
    <cfRule type="top10" dxfId="2" priority="133" rank="3"/>
  </conditionalFormatting>
  <conditionalFormatting sqref="A22">
    <cfRule type="top10" dxfId="0" priority="132" rank="3"/>
    <cfRule type="top10" dxfId="1" priority="131" rank="3"/>
    <cfRule type="top10" dxfId="2" priority="130" rank="3"/>
  </conditionalFormatting>
  <conditionalFormatting sqref="A23">
    <cfRule type="top10" dxfId="0" priority="129" rank="3"/>
    <cfRule type="top10" dxfId="1" priority="128" rank="3"/>
    <cfRule type="top10" dxfId="2" priority="127" rank="3"/>
  </conditionalFormatting>
  <conditionalFormatting sqref="A24">
    <cfRule type="top10" dxfId="0" priority="126" rank="3"/>
    <cfRule type="top10" dxfId="1" priority="125" rank="3"/>
    <cfRule type="top10" dxfId="2" priority="124" rank="3"/>
  </conditionalFormatting>
  <conditionalFormatting sqref="A25">
    <cfRule type="top10" dxfId="0" priority="123" rank="3"/>
    <cfRule type="top10" dxfId="1" priority="122" rank="3"/>
    <cfRule type="top10" dxfId="2" priority="121" rank="3"/>
  </conditionalFormatting>
  <conditionalFormatting sqref="A29">
    <cfRule type="top10" dxfId="0" priority="120" rank="3"/>
    <cfRule type="top10" dxfId="1" priority="119" rank="3"/>
    <cfRule type="top10" dxfId="2" priority="118" rank="3"/>
  </conditionalFormatting>
  <conditionalFormatting sqref="A30">
    <cfRule type="top10" dxfId="0" priority="117" rank="3"/>
    <cfRule type="top10" dxfId="1" priority="116" rank="3"/>
    <cfRule type="top10" dxfId="2" priority="115" rank="3"/>
  </conditionalFormatting>
  <conditionalFormatting sqref="A31">
    <cfRule type="top10" dxfId="0" priority="114" rank="3"/>
    <cfRule type="top10" dxfId="1" priority="113" rank="3"/>
    <cfRule type="top10" dxfId="2" priority="112" rank="3"/>
  </conditionalFormatting>
  <conditionalFormatting sqref="A32">
    <cfRule type="top10" dxfId="0" priority="111" rank="3"/>
    <cfRule type="top10" dxfId="1" priority="110" rank="3"/>
    <cfRule type="top10" dxfId="2" priority="109" rank="3"/>
  </conditionalFormatting>
  <conditionalFormatting sqref="A33">
    <cfRule type="top10" dxfId="0" priority="108" rank="3"/>
    <cfRule type="top10" dxfId="1" priority="107" rank="3"/>
    <cfRule type="top10" dxfId="2" priority="106" rank="3"/>
  </conditionalFormatting>
  <conditionalFormatting sqref="A34">
    <cfRule type="top10" dxfId="0" priority="105" rank="3"/>
    <cfRule type="top10" dxfId="1" priority="104" rank="3"/>
    <cfRule type="top10" dxfId="2" priority="103" rank="3"/>
  </conditionalFormatting>
  <conditionalFormatting sqref="A35">
    <cfRule type="top10" dxfId="0" priority="102" rank="3"/>
    <cfRule type="top10" dxfId="1" priority="101" rank="3"/>
    <cfRule type="top10" dxfId="2" priority="100" rank="3"/>
  </conditionalFormatting>
  <conditionalFormatting sqref="A36">
    <cfRule type="top10" dxfId="0" priority="99" rank="3"/>
    <cfRule type="top10" dxfId="1" priority="98" rank="3"/>
    <cfRule type="top10" dxfId="2" priority="97" rank="3"/>
  </conditionalFormatting>
  <conditionalFormatting sqref="A37">
    <cfRule type="top10" dxfId="0" priority="96" rank="3"/>
    <cfRule type="top10" dxfId="1" priority="95" rank="3"/>
    <cfRule type="top10" dxfId="2" priority="94" rank="3"/>
  </conditionalFormatting>
  <conditionalFormatting sqref="A38">
    <cfRule type="top10" dxfId="0" priority="93" rank="3"/>
    <cfRule type="top10" dxfId="1" priority="92" rank="3"/>
    <cfRule type="top10" dxfId="2" priority="91" rank="3"/>
  </conditionalFormatting>
  <conditionalFormatting sqref="A42">
    <cfRule type="top10" dxfId="0" priority="90" rank="3"/>
    <cfRule type="top10" dxfId="1" priority="89" rank="3"/>
    <cfRule type="top10" dxfId="2" priority="88" rank="3"/>
  </conditionalFormatting>
  <conditionalFormatting sqref="A43">
    <cfRule type="top10" dxfId="0" priority="87" rank="3"/>
    <cfRule type="top10" dxfId="1" priority="86" rank="3"/>
    <cfRule type="top10" dxfId="2" priority="85" rank="3"/>
  </conditionalFormatting>
  <conditionalFormatting sqref="A44">
    <cfRule type="top10" dxfId="0" priority="84" rank="3"/>
    <cfRule type="top10" dxfId="1" priority="83" rank="3"/>
    <cfRule type="top10" dxfId="2" priority="82" rank="3"/>
  </conditionalFormatting>
  <conditionalFormatting sqref="A45">
    <cfRule type="top10" dxfId="0" priority="81" rank="3"/>
    <cfRule type="top10" dxfId="1" priority="80" rank="3"/>
    <cfRule type="top10" dxfId="2" priority="79" rank="3"/>
  </conditionalFormatting>
  <conditionalFormatting sqref="A46">
    <cfRule type="top10" dxfId="0" priority="78" rank="3"/>
    <cfRule type="top10" dxfId="1" priority="77" rank="3"/>
    <cfRule type="top10" dxfId="2" priority="76" rank="3"/>
  </conditionalFormatting>
  <conditionalFormatting sqref="A47">
    <cfRule type="top10" dxfId="0" priority="75" rank="3"/>
    <cfRule type="top10" dxfId="1" priority="74" rank="3"/>
    <cfRule type="top10" dxfId="2" priority="73" rank="3"/>
  </conditionalFormatting>
  <conditionalFormatting sqref="A48">
    <cfRule type="top10" dxfId="0" priority="72" rank="3"/>
    <cfRule type="top10" dxfId="1" priority="71" rank="3"/>
    <cfRule type="top10" dxfId="2" priority="70" rank="3"/>
  </conditionalFormatting>
  <conditionalFormatting sqref="A49">
    <cfRule type="top10" dxfId="0" priority="69" rank="3"/>
    <cfRule type="top10" dxfId="1" priority="68" rank="3"/>
    <cfRule type="top10" dxfId="2" priority="67" rank="3"/>
  </conditionalFormatting>
  <conditionalFormatting sqref="A50">
    <cfRule type="top10" dxfId="0" priority="66" rank="3"/>
    <cfRule type="top10" dxfId="1" priority="65" rank="3"/>
    <cfRule type="top10" dxfId="2" priority="64" rank="3"/>
  </conditionalFormatting>
  <conditionalFormatting sqref="A51">
    <cfRule type="top10" dxfId="0" priority="63" rank="3"/>
    <cfRule type="top10" dxfId="1" priority="62" rank="3"/>
    <cfRule type="top10" dxfId="2" priority="61" rank="3"/>
  </conditionalFormatting>
  <conditionalFormatting sqref="A56">
    <cfRule type="top10" dxfId="0" priority="60" rank="3"/>
    <cfRule type="top10" dxfId="1" priority="59" rank="3"/>
    <cfRule type="top10" dxfId="2" priority="58" rank="3"/>
  </conditionalFormatting>
  <conditionalFormatting sqref="A57">
    <cfRule type="top10" dxfId="0" priority="57" rank="3"/>
    <cfRule type="top10" dxfId="1" priority="56" rank="3"/>
    <cfRule type="top10" dxfId="2" priority="55" rank="3"/>
  </conditionalFormatting>
  <conditionalFormatting sqref="A58">
    <cfRule type="top10" dxfId="0" priority="54" rank="3"/>
    <cfRule type="top10" dxfId="1" priority="53" rank="3"/>
    <cfRule type="top10" dxfId="2" priority="52" rank="3"/>
  </conditionalFormatting>
  <conditionalFormatting sqref="A59">
    <cfRule type="top10" dxfId="0" priority="51" rank="3"/>
    <cfRule type="top10" dxfId="1" priority="50" rank="3"/>
    <cfRule type="top10" dxfId="2" priority="49" rank="3"/>
  </conditionalFormatting>
  <conditionalFormatting sqref="A60">
    <cfRule type="top10" dxfId="0" priority="48" rank="3"/>
    <cfRule type="top10" dxfId="1" priority="47" rank="3"/>
    <cfRule type="top10" dxfId="2" priority="46" rank="3"/>
  </conditionalFormatting>
  <conditionalFormatting sqref="A61">
    <cfRule type="top10" dxfId="0" priority="45" rank="3"/>
    <cfRule type="top10" dxfId="1" priority="44" rank="3"/>
    <cfRule type="top10" dxfId="2" priority="43" rank="3"/>
  </conditionalFormatting>
  <conditionalFormatting sqref="A62">
    <cfRule type="top10" dxfId="0" priority="42" rank="3"/>
    <cfRule type="top10" dxfId="1" priority="41" rank="3"/>
    <cfRule type="top10" dxfId="2" priority="40" rank="3"/>
  </conditionalFormatting>
  <conditionalFormatting sqref="A63">
    <cfRule type="top10" dxfId="0" priority="39" rank="3"/>
    <cfRule type="top10" dxfId="1" priority="38" rank="3"/>
    <cfRule type="top10" dxfId="2" priority="37" rank="3"/>
  </conditionalFormatting>
  <conditionalFormatting sqref="A64">
    <cfRule type="top10" dxfId="0" priority="36" rank="3"/>
    <cfRule type="top10" dxfId="1" priority="35" rank="3"/>
    <cfRule type="top10" dxfId="2" priority="34" rank="3"/>
  </conditionalFormatting>
  <conditionalFormatting sqref="A65">
    <cfRule type="top10" dxfId="0" priority="33" rank="3"/>
    <cfRule type="top10" dxfId="1" priority="32" rank="3"/>
    <cfRule type="top10" dxfId="2" priority="31" rank="3"/>
  </conditionalFormatting>
  <conditionalFormatting sqref="A69">
    <cfRule type="top10" dxfId="0" priority="30" rank="3"/>
    <cfRule type="top10" dxfId="1" priority="29" rank="3"/>
    <cfRule type="top10" dxfId="2" priority="28" rank="3"/>
  </conditionalFormatting>
  <conditionalFormatting sqref="A70">
    <cfRule type="top10" dxfId="0" priority="27" rank="3"/>
    <cfRule type="top10" dxfId="1" priority="26" rank="3"/>
    <cfRule type="top10" dxfId="2" priority="25" rank="3"/>
  </conditionalFormatting>
  <conditionalFormatting sqref="A71">
    <cfRule type="top10" dxfId="0" priority="24" rank="3"/>
    <cfRule type="top10" dxfId="1" priority="23" rank="3"/>
    <cfRule type="top10" dxfId="2" priority="22" rank="3"/>
  </conditionalFormatting>
  <conditionalFormatting sqref="A72">
    <cfRule type="top10" dxfId="0" priority="21" rank="3"/>
    <cfRule type="top10" dxfId="1" priority="20" rank="3"/>
    <cfRule type="top10" dxfId="2" priority="19" rank="3"/>
  </conditionalFormatting>
  <conditionalFormatting sqref="A73">
    <cfRule type="top10" dxfId="0" priority="18" rank="3"/>
    <cfRule type="top10" dxfId="1" priority="17" rank="3"/>
    <cfRule type="top10" dxfId="2" priority="16" rank="3"/>
  </conditionalFormatting>
  <conditionalFormatting sqref="A74">
    <cfRule type="top10" dxfId="0" priority="15" rank="3"/>
    <cfRule type="top10" dxfId="1" priority="14" rank="3"/>
    <cfRule type="top10" dxfId="2" priority="13" rank="3"/>
  </conditionalFormatting>
  <conditionalFormatting sqref="A75">
    <cfRule type="top10" dxfId="0" priority="12" rank="3"/>
    <cfRule type="top10" dxfId="1" priority="11" rank="3"/>
    <cfRule type="top10" dxfId="2" priority="10" rank="3"/>
  </conditionalFormatting>
  <conditionalFormatting sqref="A76">
    <cfRule type="top10" dxfId="0" priority="9" rank="3"/>
    <cfRule type="top10" dxfId="1" priority="8" rank="3"/>
    <cfRule type="top10" dxfId="2" priority="7" rank="3"/>
  </conditionalFormatting>
  <conditionalFormatting sqref="A77">
    <cfRule type="top10" dxfId="0" priority="6" rank="3"/>
    <cfRule type="top10" dxfId="1" priority="5" rank="3"/>
    <cfRule type="top10" dxfId="2" priority="4" rank="3"/>
  </conditionalFormatting>
  <conditionalFormatting sqref="A78">
    <cfRule type="top10" dxfId="0" priority="3" rank="3"/>
    <cfRule type="top10" dxfId="1" priority="2" rank="3"/>
    <cfRule type="top10" dxfId="2" priority="1" rank="3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opLeftCell="A21" workbookViewId="0">
      <selection activeCell="C15" sqref="C15"/>
    </sheetView>
  </sheetViews>
  <sheetFormatPr defaultColWidth="9" defaultRowHeight="13.5"/>
  <cols>
    <col min="1" max="1" width="10.175" customWidth="1"/>
    <col min="2" max="3" width="26.675" customWidth="1"/>
    <col min="4" max="4" width="25.675" customWidth="1"/>
    <col min="5" max="5" width="13.8416666666667" customWidth="1"/>
    <col min="6" max="6" width="18.875" customWidth="1"/>
    <col min="7" max="8" width="20.8416666666667" customWidth="1"/>
    <col min="9" max="9" width="21.8416666666667" customWidth="1"/>
  </cols>
  <sheetData>
    <row r="1" ht="22.5" customHeight="1" spans="1:9">
      <c r="A1" s="35" t="s">
        <v>336</v>
      </c>
      <c r="B1" s="36" t="s">
        <v>337</v>
      </c>
      <c r="C1" s="36" t="s">
        <v>338</v>
      </c>
      <c r="D1" s="36" t="s">
        <v>339</v>
      </c>
      <c r="E1" s="36"/>
      <c r="F1" s="36" t="s">
        <v>340</v>
      </c>
      <c r="G1" s="36" t="s">
        <v>341</v>
      </c>
      <c r="H1" s="36" t="s">
        <v>342</v>
      </c>
      <c r="I1" s="37"/>
    </row>
    <row r="2" ht="22.5" customHeight="1" spans="1:9">
      <c r="A2" s="38" t="s">
        <v>343</v>
      </c>
      <c r="B2" s="39">
        <v>69.03</v>
      </c>
      <c r="C2" s="39">
        <v>69.07</v>
      </c>
      <c r="D2" s="39">
        <v>68.78</v>
      </c>
      <c r="E2" s="40" t="str">
        <f t="shared" ref="E2:E17" si="0">_xlfn.CONCAT(ROUND(AVERAGE(B2:D2),2),"±",ROUND(_xlfn.STDEV.S(B2:D2),2))</f>
        <v>68.96±0.16</v>
      </c>
      <c r="F2" s="39">
        <v>57.02</v>
      </c>
      <c r="G2" s="39">
        <v>61.22</v>
      </c>
      <c r="H2" s="39">
        <v>62.13</v>
      </c>
      <c r="I2" s="40" t="str">
        <f t="shared" ref="I2:I17" si="1">_xlfn.CONCAT(ROUND(AVERAGE(F2:H2),2),"±",ROUND(_xlfn.STDEV.S(F2:H2),2))</f>
        <v>60.12±2.73</v>
      </c>
    </row>
    <row r="3" ht="22.5" customHeight="1" spans="1:9">
      <c r="A3" s="41" t="s">
        <v>11</v>
      </c>
      <c r="B3" s="42">
        <v>75.21</v>
      </c>
      <c r="C3" s="42">
        <v>71.65</v>
      </c>
      <c r="D3" s="42">
        <v>73.63</v>
      </c>
      <c r="E3" s="43" t="str">
        <f t="shared" si="0"/>
        <v>73.5±1.78</v>
      </c>
      <c r="F3" s="42">
        <v>51.91</v>
      </c>
      <c r="G3" s="42">
        <v>58.89</v>
      </c>
      <c r="H3" s="42">
        <v>59.52</v>
      </c>
      <c r="I3" s="43" t="str">
        <f t="shared" si="1"/>
        <v>56.77±4.22</v>
      </c>
    </row>
    <row r="4" ht="22.5" customHeight="1" spans="1:9">
      <c r="A4" s="44" t="s">
        <v>17</v>
      </c>
      <c r="B4" s="45">
        <v>57.9</v>
      </c>
      <c r="C4" s="45">
        <v>58.64</v>
      </c>
      <c r="D4" s="45">
        <v>55.5</v>
      </c>
      <c r="E4" s="46" t="str">
        <f t="shared" si="0"/>
        <v>57.35±1.64</v>
      </c>
      <c r="F4" s="45">
        <v>40.32</v>
      </c>
      <c r="G4" s="45">
        <v>39.03</v>
      </c>
      <c r="H4" s="45">
        <v>44.06</v>
      </c>
      <c r="I4" s="46" t="str">
        <f t="shared" si="1"/>
        <v>41.14±2.61</v>
      </c>
    </row>
    <row r="5" ht="22.5" customHeight="1" spans="1:9">
      <c r="A5" s="41" t="s">
        <v>23</v>
      </c>
      <c r="B5" s="42">
        <v>44.13</v>
      </c>
      <c r="C5" s="42">
        <v>44.32</v>
      </c>
      <c r="D5" s="42">
        <v>43.24</v>
      </c>
      <c r="E5" s="43" t="str">
        <f t="shared" si="0"/>
        <v>43.9±0.58</v>
      </c>
      <c r="F5" s="42">
        <v>28.21</v>
      </c>
      <c r="G5" s="42">
        <v>35.06</v>
      </c>
      <c r="H5" s="42">
        <v>35.19</v>
      </c>
      <c r="I5" s="43" t="str">
        <f t="shared" si="1"/>
        <v>32.82±3.99</v>
      </c>
    </row>
    <row r="6" ht="22.5" customHeight="1" spans="1:9">
      <c r="A6" s="44" t="s">
        <v>29</v>
      </c>
      <c r="B6" s="45">
        <v>50.21</v>
      </c>
      <c r="C6" s="45">
        <v>55.2</v>
      </c>
      <c r="D6" s="45">
        <v>49.54</v>
      </c>
      <c r="E6" s="46" t="str">
        <f t="shared" si="0"/>
        <v>51.65±3.09</v>
      </c>
      <c r="F6" s="45">
        <v>25.51</v>
      </c>
      <c r="G6" s="45">
        <v>35.83</v>
      </c>
      <c r="H6" s="45">
        <v>36.45</v>
      </c>
      <c r="I6" s="46" t="str">
        <f t="shared" si="1"/>
        <v>32.6±6.15</v>
      </c>
    </row>
    <row r="7" ht="22.5" customHeight="1" spans="1:9">
      <c r="A7" s="41" t="s">
        <v>88</v>
      </c>
      <c r="B7" s="42">
        <v>77.33</v>
      </c>
      <c r="C7" s="42">
        <v>79.1</v>
      </c>
      <c r="D7" s="42">
        <v>78.06</v>
      </c>
      <c r="E7" s="43" t="str">
        <f t="shared" si="0"/>
        <v>78.16±0.89</v>
      </c>
      <c r="F7" s="42">
        <v>69.46</v>
      </c>
      <c r="G7" s="42">
        <v>72.75</v>
      </c>
      <c r="H7" s="47">
        <v>73.8</v>
      </c>
      <c r="I7" s="43" t="str">
        <f t="shared" si="1"/>
        <v>72±2.26</v>
      </c>
    </row>
    <row r="8" ht="22.5" customHeight="1" spans="1:9">
      <c r="A8" s="44" t="s">
        <v>94</v>
      </c>
      <c r="B8" s="45">
        <v>20.63</v>
      </c>
      <c r="C8" s="45">
        <v>15.76</v>
      </c>
      <c r="D8" s="45">
        <v>18.05</v>
      </c>
      <c r="E8" s="46" t="str">
        <f t="shared" si="0"/>
        <v>18.15±2.44</v>
      </c>
      <c r="F8" s="45">
        <v>10.04</v>
      </c>
      <c r="G8" s="45">
        <v>14.73</v>
      </c>
      <c r="H8" s="45">
        <v>14.52</v>
      </c>
      <c r="I8" s="46" t="str">
        <f t="shared" si="1"/>
        <v>13.1±2.65</v>
      </c>
    </row>
    <row r="9" ht="22.5" customHeight="1" spans="1:9">
      <c r="A9" s="41" t="s">
        <v>100</v>
      </c>
      <c r="B9" s="42">
        <v>84.73</v>
      </c>
      <c r="C9" s="42">
        <v>84.67</v>
      </c>
      <c r="D9" s="42">
        <v>83.98</v>
      </c>
      <c r="E9" s="43" t="str">
        <f t="shared" si="0"/>
        <v>84.46±0.42</v>
      </c>
      <c r="F9" s="42">
        <v>82.38</v>
      </c>
      <c r="G9" s="42">
        <v>82.62</v>
      </c>
      <c r="H9" s="47">
        <v>84.2</v>
      </c>
      <c r="I9" s="43" t="str">
        <f t="shared" si="1"/>
        <v>83.07±0.99</v>
      </c>
    </row>
    <row r="10" ht="22.5" customHeight="1" spans="1:9">
      <c r="A10" s="44" t="s">
        <v>106</v>
      </c>
      <c r="B10" s="45">
        <v>95.79</v>
      </c>
      <c r="C10" s="45">
        <v>96.21</v>
      </c>
      <c r="D10" s="45">
        <v>96.58</v>
      </c>
      <c r="E10" s="46" t="str">
        <f t="shared" si="0"/>
        <v>96.19±0.4</v>
      </c>
      <c r="F10" s="48">
        <v>93.9</v>
      </c>
      <c r="G10" s="45">
        <v>95.43</v>
      </c>
      <c r="H10" s="45">
        <v>94.81</v>
      </c>
      <c r="I10" s="46" t="str">
        <f t="shared" si="1"/>
        <v>94.71±0.77</v>
      </c>
    </row>
    <row r="11" ht="22.5" customHeight="1" spans="1:9">
      <c r="A11" s="41" t="s">
        <v>112</v>
      </c>
      <c r="B11" s="42">
        <v>56.27</v>
      </c>
      <c r="C11" s="42">
        <v>59.51</v>
      </c>
      <c r="D11" s="42">
        <v>56.57</v>
      </c>
      <c r="E11" s="43" t="str">
        <f t="shared" si="0"/>
        <v>57.45±1.79</v>
      </c>
      <c r="F11" s="42">
        <v>30.24</v>
      </c>
      <c r="G11" s="42">
        <v>41.12</v>
      </c>
      <c r="H11" s="42">
        <v>39.56</v>
      </c>
      <c r="I11" s="43" t="str">
        <f t="shared" si="1"/>
        <v>36.97±5.88</v>
      </c>
    </row>
    <row r="12" ht="22.5" customHeight="1" spans="1:9">
      <c r="A12" s="44" t="s">
        <v>37</v>
      </c>
      <c r="B12" s="45">
        <v>93.36</v>
      </c>
      <c r="C12" s="45">
        <v>93.82</v>
      </c>
      <c r="D12" s="45">
        <v>93.21</v>
      </c>
      <c r="E12" s="46" t="str">
        <f t="shared" si="0"/>
        <v>93.46±0.32</v>
      </c>
      <c r="F12" s="45">
        <v>90.88</v>
      </c>
      <c r="G12" s="45">
        <v>92.25</v>
      </c>
      <c r="H12" s="45">
        <v>91.85</v>
      </c>
      <c r="I12" s="46" t="str">
        <f t="shared" si="1"/>
        <v>91.66±0.7</v>
      </c>
    </row>
    <row r="13" ht="22.5" customHeight="1" spans="1:9">
      <c r="A13" s="41" t="s">
        <v>123</v>
      </c>
      <c r="B13" s="42">
        <v>72.42</v>
      </c>
      <c r="C13" s="42">
        <v>71.06</v>
      </c>
      <c r="D13" s="42">
        <v>71.34</v>
      </c>
      <c r="E13" s="43" t="str">
        <f t="shared" si="0"/>
        <v>71.61±0.72</v>
      </c>
      <c r="F13" s="42">
        <v>69.11</v>
      </c>
      <c r="G13" s="42">
        <v>70.74</v>
      </c>
      <c r="H13" s="42">
        <v>70.28</v>
      </c>
      <c r="I13" s="43" t="str">
        <f t="shared" si="1"/>
        <v>70.04±0.84</v>
      </c>
    </row>
    <row r="14" ht="22.5" customHeight="1" spans="1:9">
      <c r="A14" s="44" t="s">
        <v>129</v>
      </c>
      <c r="B14" s="45">
        <v>65.78</v>
      </c>
      <c r="C14" s="45">
        <v>61.52</v>
      </c>
      <c r="D14" s="45">
        <v>66.94</v>
      </c>
      <c r="E14" s="46" t="str">
        <f t="shared" si="0"/>
        <v>64.75±2.85</v>
      </c>
      <c r="F14" s="45">
        <v>34.72</v>
      </c>
      <c r="G14" s="45">
        <v>46.03</v>
      </c>
      <c r="H14" s="45">
        <v>52.05</v>
      </c>
      <c r="I14" s="46" t="str">
        <f t="shared" si="1"/>
        <v>44.27±8.8</v>
      </c>
    </row>
    <row r="15" ht="22.5" customHeight="1" spans="1:9">
      <c r="A15" s="41" t="s">
        <v>43</v>
      </c>
      <c r="B15" s="42">
        <v>87.94</v>
      </c>
      <c r="C15" s="42">
        <v>86.19</v>
      </c>
      <c r="D15" s="42">
        <v>87.94</v>
      </c>
      <c r="E15" s="43" t="str">
        <f t="shared" si="0"/>
        <v>87.36±1.01</v>
      </c>
      <c r="F15" s="42">
        <v>79.16</v>
      </c>
      <c r="G15" s="42">
        <v>82.12</v>
      </c>
      <c r="H15" s="42">
        <v>82.97</v>
      </c>
      <c r="I15" s="43" t="str">
        <f t="shared" si="1"/>
        <v>81.42±2</v>
      </c>
    </row>
    <row r="16" ht="22.5" customHeight="1" spans="1:9">
      <c r="A16" s="44" t="s">
        <v>140</v>
      </c>
      <c r="B16" s="45">
        <v>61.39</v>
      </c>
      <c r="C16" s="45">
        <v>65.29</v>
      </c>
      <c r="D16" s="45">
        <v>64.02</v>
      </c>
      <c r="E16" s="46" t="str">
        <f t="shared" si="0"/>
        <v>63.57±1.99</v>
      </c>
      <c r="F16" s="45">
        <v>58.74</v>
      </c>
      <c r="G16" s="45">
        <v>59.65</v>
      </c>
      <c r="H16" s="48">
        <v>61.5</v>
      </c>
      <c r="I16" s="46" t="str">
        <f t="shared" si="1"/>
        <v>59.96±1.41</v>
      </c>
    </row>
    <row r="17" ht="22.5" customHeight="1" spans="1:9">
      <c r="A17" s="41" t="s">
        <v>49</v>
      </c>
      <c r="B17" s="42">
        <v>92.33</v>
      </c>
      <c r="C17" s="42">
        <v>93.07</v>
      </c>
      <c r="D17" s="42">
        <v>93.15</v>
      </c>
      <c r="E17" s="43" t="str">
        <f t="shared" si="0"/>
        <v>92.85±0.45</v>
      </c>
      <c r="F17" s="42">
        <v>90.81</v>
      </c>
      <c r="G17" s="42">
        <v>92.08</v>
      </c>
      <c r="H17" s="42">
        <v>91.17</v>
      </c>
      <c r="I17" s="43" t="str">
        <f t="shared" si="1"/>
        <v>91.35±0.65</v>
      </c>
    </row>
    <row r="18" ht="22.5" customHeight="1" spans="1:9">
      <c r="A18" s="49"/>
      <c r="B18" s="50"/>
      <c r="C18" s="50"/>
      <c r="D18" s="50"/>
      <c r="E18" s="50"/>
      <c r="F18" s="51"/>
      <c r="G18" s="51"/>
      <c r="H18" s="51"/>
      <c r="I18" s="51"/>
    </row>
    <row r="19" ht="22.5" customHeight="1" spans="1:9">
      <c r="A19" s="52"/>
      <c r="B19" s="53"/>
      <c r="C19" s="53"/>
      <c r="D19" s="53"/>
      <c r="E19" s="53"/>
      <c r="F19" s="54"/>
      <c r="G19" s="54"/>
      <c r="H19" s="54"/>
      <c r="I19" s="54"/>
    </row>
    <row r="20" ht="22.5" customHeight="1" spans="1:9">
      <c r="A20" s="49"/>
      <c r="B20" s="50"/>
      <c r="C20" s="50"/>
      <c r="D20" s="50"/>
      <c r="E20" s="50"/>
      <c r="F20" s="51"/>
      <c r="G20" s="51"/>
      <c r="H20" s="51"/>
      <c r="I20" s="51"/>
    </row>
    <row r="21" customFormat="1" ht="22.5" customHeight="1" spans="1:9">
      <c r="A21" s="35"/>
      <c r="B21" s="36" t="s">
        <v>344</v>
      </c>
      <c r="C21" s="36" t="s">
        <v>345</v>
      </c>
      <c r="D21" s="36" t="s">
        <v>346</v>
      </c>
      <c r="E21" s="36"/>
      <c r="F21" s="36" t="s">
        <v>328</v>
      </c>
      <c r="G21" s="36" t="s">
        <v>329</v>
      </c>
      <c r="H21" s="36" t="s">
        <v>330</v>
      </c>
      <c r="I21" s="37"/>
    </row>
    <row r="22" ht="22.5" customHeight="1" spans="1:9">
      <c r="A22" s="44" t="s">
        <v>343</v>
      </c>
      <c r="B22" s="45">
        <v>68.41</v>
      </c>
      <c r="C22" s="45">
        <v>69.43</v>
      </c>
      <c r="D22" s="45">
        <v>69.93</v>
      </c>
      <c r="E22" s="46" t="str">
        <f t="shared" ref="E22:E37" si="2">_xlfn.CONCAT(ROUND(AVERAGE(B22:D22),2),"±",ROUND(_xlfn.STDEV.S(B22:D22),2))</f>
        <v>69.26±0.77</v>
      </c>
      <c r="F22" s="45">
        <v>69.13</v>
      </c>
      <c r="G22" s="45">
        <v>70.11</v>
      </c>
      <c r="H22" s="45">
        <v>70.7</v>
      </c>
      <c r="I22" s="55" t="str">
        <f t="shared" ref="I22:I37" si="3">_xlfn.CONCAT(ROUND(AVERAGE(F22:H22),2),"±",ROUND(_xlfn.STDEV.S(F22:H22),2))</f>
        <v>69.98±0.79</v>
      </c>
    </row>
    <row r="23" ht="22.5" customHeight="1" spans="1:9">
      <c r="A23" s="41" t="s">
        <v>11</v>
      </c>
      <c r="B23" s="42">
        <v>73.32</v>
      </c>
      <c r="C23" s="42">
        <v>71.05</v>
      </c>
      <c r="D23" s="42">
        <v>71.12</v>
      </c>
      <c r="E23" s="43" t="str">
        <f t="shared" si="2"/>
        <v>71.83±1.29</v>
      </c>
      <c r="F23" s="42">
        <v>74.95</v>
      </c>
      <c r="G23" s="42">
        <v>76.58</v>
      </c>
      <c r="H23" s="42">
        <v>74.98</v>
      </c>
      <c r="I23" s="56" t="str">
        <f t="shared" si="3"/>
        <v>75.5±0.93</v>
      </c>
    </row>
    <row r="24" ht="22.5" customHeight="1" spans="1:9">
      <c r="A24" s="44" t="s">
        <v>17</v>
      </c>
      <c r="B24" s="45">
        <v>60.18</v>
      </c>
      <c r="C24" s="45">
        <v>62.91</v>
      </c>
      <c r="D24" s="45">
        <v>58.9</v>
      </c>
      <c r="E24" s="46" t="str">
        <f t="shared" si="2"/>
        <v>60.66±2.05</v>
      </c>
      <c r="F24" s="45">
        <v>60.76</v>
      </c>
      <c r="G24" s="45">
        <v>60.71</v>
      </c>
      <c r="H24" s="45">
        <v>56.63</v>
      </c>
      <c r="I24" s="55" t="str">
        <f t="shared" si="3"/>
        <v>59.37±2.37</v>
      </c>
    </row>
    <row r="25" ht="22.5" customHeight="1" spans="1:9">
      <c r="A25" s="41" t="s">
        <v>23</v>
      </c>
      <c r="B25" s="42">
        <v>40.56</v>
      </c>
      <c r="C25" s="42">
        <v>45.32</v>
      </c>
      <c r="D25" s="42">
        <v>46.56</v>
      </c>
      <c r="E25" s="43" t="str">
        <f t="shared" si="2"/>
        <v>44.15±3.17</v>
      </c>
      <c r="F25" s="42">
        <v>44.87</v>
      </c>
      <c r="G25" s="42">
        <v>45.95</v>
      </c>
      <c r="H25" s="42">
        <v>44.99</v>
      </c>
      <c r="I25" s="56" t="str">
        <f t="shared" si="3"/>
        <v>45.27±0.59</v>
      </c>
    </row>
    <row r="26" ht="22.5" customHeight="1" spans="1:9">
      <c r="A26" s="44" t="s">
        <v>29</v>
      </c>
      <c r="B26" s="45">
        <v>44.63</v>
      </c>
      <c r="C26" s="45">
        <v>49.79</v>
      </c>
      <c r="D26" s="45">
        <v>51.17</v>
      </c>
      <c r="E26" s="46" t="str">
        <f t="shared" si="2"/>
        <v>48.53±3.45</v>
      </c>
      <c r="F26" s="45">
        <v>50.87</v>
      </c>
      <c r="G26" s="45">
        <v>51.98</v>
      </c>
      <c r="H26" s="45">
        <v>54.39</v>
      </c>
      <c r="I26" s="55" t="str">
        <f t="shared" si="3"/>
        <v>52.41±1.8</v>
      </c>
    </row>
    <row r="27" ht="22.5" customHeight="1" spans="1:9">
      <c r="A27" s="41" t="s">
        <v>88</v>
      </c>
      <c r="B27" s="42">
        <v>77.54</v>
      </c>
      <c r="C27" s="42">
        <v>77.83</v>
      </c>
      <c r="D27" s="47">
        <v>77.99</v>
      </c>
      <c r="E27" s="43" t="str">
        <f t="shared" si="2"/>
        <v>77.79±0.23</v>
      </c>
      <c r="F27" s="42">
        <v>77.55</v>
      </c>
      <c r="G27" s="42">
        <v>78.79</v>
      </c>
      <c r="H27" s="42">
        <v>79.14</v>
      </c>
      <c r="I27" s="56" t="str">
        <f t="shared" si="3"/>
        <v>78.49±0.84</v>
      </c>
    </row>
    <row r="28" ht="22.5" customHeight="1" spans="1:9">
      <c r="A28" s="44" t="s">
        <v>94</v>
      </c>
      <c r="B28" s="45">
        <v>23.05</v>
      </c>
      <c r="C28" s="45">
        <v>17.56</v>
      </c>
      <c r="D28" s="45">
        <v>23.88</v>
      </c>
      <c r="E28" s="46" t="str">
        <f t="shared" si="2"/>
        <v>21.5±3.43</v>
      </c>
      <c r="F28" s="45">
        <v>21.52</v>
      </c>
      <c r="G28" s="45">
        <v>16.23</v>
      </c>
      <c r="H28" s="45">
        <v>26.87</v>
      </c>
      <c r="I28" s="55" t="str">
        <f t="shared" si="3"/>
        <v>21.54±5.32</v>
      </c>
    </row>
    <row r="29" ht="22.5" customHeight="1" spans="1:9">
      <c r="A29" s="41" t="s">
        <v>100</v>
      </c>
      <c r="B29" s="42">
        <v>84.06</v>
      </c>
      <c r="C29" s="42">
        <v>84.11</v>
      </c>
      <c r="D29" s="47">
        <v>85.15</v>
      </c>
      <c r="E29" s="43" t="str">
        <f t="shared" si="2"/>
        <v>84.44±0.62</v>
      </c>
      <c r="F29" s="42">
        <v>84.87</v>
      </c>
      <c r="G29" s="42">
        <v>85.37</v>
      </c>
      <c r="H29" s="42">
        <v>85.16</v>
      </c>
      <c r="I29" s="56" t="str">
        <f t="shared" si="3"/>
        <v>85.13±0.25</v>
      </c>
    </row>
    <row r="30" ht="22.5" customHeight="1" spans="1:9">
      <c r="A30" s="44" t="s">
        <v>106</v>
      </c>
      <c r="B30" s="48">
        <v>95.32</v>
      </c>
      <c r="C30" s="45">
        <v>96.29</v>
      </c>
      <c r="D30" s="45">
        <v>96.99</v>
      </c>
      <c r="E30" s="46" t="str">
        <f t="shared" si="2"/>
        <v>96.2±0.84</v>
      </c>
      <c r="F30" s="45">
        <v>96.41</v>
      </c>
      <c r="G30" s="45">
        <v>96.48</v>
      </c>
      <c r="H30" s="45">
        <v>96.74</v>
      </c>
      <c r="I30" s="55" t="str">
        <f t="shared" si="3"/>
        <v>96.54±0.17</v>
      </c>
    </row>
    <row r="31" ht="22.5" customHeight="1" spans="1:9">
      <c r="A31" s="41" t="s">
        <v>112</v>
      </c>
      <c r="B31" s="42">
        <v>57.38</v>
      </c>
      <c r="C31" s="42">
        <v>56.54</v>
      </c>
      <c r="D31" s="42">
        <v>58.91</v>
      </c>
      <c r="E31" s="43" t="str">
        <f t="shared" si="2"/>
        <v>57.61±1.2</v>
      </c>
      <c r="F31" s="42">
        <v>57.96</v>
      </c>
      <c r="G31" s="42">
        <v>59.34</v>
      </c>
      <c r="H31" s="42">
        <v>62.58</v>
      </c>
      <c r="I31" s="56" t="str">
        <f t="shared" si="3"/>
        <v>59.96±2.37</v>
      </c>
    </row>
    <row r="32" ht="22.5" customHeight="1" spans="1:9">
      <c r="A32" s="44" t="s">
        <v>37</v>
      </c>
      <c r="B32" s="45">
        <v>93.15</v>
      </c>
      <c r="C32" s="45">
        <v>93.46</v>
      </c>
      <c r="D32" s="45">
        <v>93.26</v>
      </c>
      <c r="E32" s="46" t="str">
        <f t="shared" si="2"/>
        <v>93.29±0.16</v>
      </c>
      <c r="F32" s="45">
        <v>93.47</v>
      </c>
      <c r="G32" s="45">
        <v>93.38</v>
      </c>
      <c r="H32" s="45">
        <v>93.48</v>
      </c>
      <c r="I32" s="55" t="str">
        <f t="shared" si="3"/>
        <v>93.44±0.06</v>
      </c>
    </row>
    <row r="33" ht="22.5" customHeight="1" spans="1:9">
      <c r="A33" s="41" t="s">
        <v>123</v>
      </c>
      <c r="B33" s="42">
        <v>69.95</v>
      </c>
      <c r="C33" s="42">
        <v>72.55</v>
      </c>
      <c r="D33" s="42">
        <v>71.85</v>
      </c>
      <c r="E33" s="43" t="str">
        <f t="shared" si="2"/>
        <v>71.45±1.35</v>
      </c>
      <c r="F33" s="42">
        <v>71.45</v>
      </c>
      <c r="G33" s="47">
        <v>74.2</v>
      </c>
      <c r="H33" s="42">
        <v>75.04</v>
      </c>
      <c r="I33" s="56" t="str">
        <f t="shared" si="3"/>
        <v>73.56±1.88</v>
      </c>
    </row>
    <row r="34" ht="22.5" customHeight="1" spans="1:9">
      <c r="A34" s="44" t="s">
        <v>129</v>
      </c>
      <c r="B34" s="48">
        <v>66</v>
      </c>
      <c r="C34" s="45">
        <v>64.94</v>
      </c>
      <c r="D34" s="45">
        <v>63.42</v>
      </c>
      <c r="E34" s="46" t="str">
        <f t="shared" si="2"/>
        <v>64.79±1.3</v>
      </c>
      <c r="F34" s="45">
        <v>53.96</v>
      </c>
      <c r="G34" s="45">
        <v>65.35</v>
      </c>
      <c r="H34" s="45">
        <v>60.04</v>
      </c>
      <c r="I34" s="55" t="str">
        <f t="shared" si="3"/>
        <v>59.78±5.7</v>
      </c>
    </row>
    <row r="35" ht="22.5" customHeight="1" spans="1:9">
      <c r="A35" s="41" t="s">
        <v>43</v>
      </c>
      <c r="B35" s="42">
        <v>86.34</v>
      </c>
      <c r="C35" s="42">
        <v>86.61</v>
      </c>
      <c r="D35" s="42">
        <v>88.34</v>
      </c>
      <c r="E35" s="43" t="str">
        <f t="shared" si="2"/>
        <v>87.1±1.09</v>
      </c>
      <c r="F35" s="42">
        <v>88.21</v>
      </c>
      <c r="G35" s="42">
        <v>86.77</v>
      </c>
      <c r="H35" s="42">
        <v>87.71</v>
      </c>
      <c r="I35" s="56" t="str">
        <f t="shared" si="3"/>
        <v>87.56±0.73</v>
      </c>
    </row>
    <row r="36" ht="22.5" customHeight="1" spans="1:9">
      <c r="A36" s="44" t="s">
        <v>140</v>
      </c>
      <c r="B36" s="45">
        <v>61.97</v>
      </c>
      <c r="C36" s="45">
        <v>70.23</v>
      </c>
      <c r="D36" s="48">
        <v>68.6</v>
      </c>
      <c r="E36" s="46" t="str">
        <f t="shared" si="2"/>
        <v>66.93±4.37</v>
      </c>
      <c r="F36" s="45">
        <v>67.77</v>
      </c>
      <c r="G36" s="45">
        <v>68.14</v>
      </c>
      <c r="H36" s="45">
        <v>70.07</v>
      </c>
      <c r="I36" s="55" t="str">
        <f t="shared" si="3"/>
        <v>68.66±1.24</v>
      </c>
    </row>
    <row r="37" ht="22.5" customHeight="1" spans="1:9">
      <c r="A37" s="41" t="s">
        <v>49</v>
      </c>
      <c r="B37" s="42">
        <v>92.68</v>
      </c>
      <c r="C37" s="42">
        <v>92.32</v>
      </c>
      <c r="D37" s="47">
        <v>92.8</v>
      </c>
      <c r="E37" s="43" t="str">
        <f t="shared" si="2"/>
        <v>92.6±0.25</v>
      </c>
      <c r="F37" s="42">
        <v>92.38</v>
      </c>
      <c r="G37" s="42">
        <v>92.43</v>
      </c>
      <c r="H37" s="42">
        <v>92.61</v>
      </c>
      <c r="I37" s="56" t="str">
        <f t="shared" si="3"/>
        <v>92.47±0.12</v>
      </c>
    </row>
    <row r="38" ht="22.5" customHeight="1" spans="1:9">
      <c r="A38" s="49"/>
      <c r="B38" s="50"/>
      <c r="C38" s="50"/>
      <c r="D38" s="50"/>
      <c r="E38" s="50"/>
      <c r="F38" s="51"/>
      <c r="G38" s="51"/>
      <c r="H38" s="51"/>
      <c r="I38" s="51"/>
    </row>
    <row r="39" ht="22.5" customHeight="1" spans="1:9">
      <c r="A39" s="57"/>
      <c r="B39" s="54"/>
      <c r="C39" s="54"/>
      <c r="D39" s="54"/>
      <c r="E39" s="54"/>
      <c r="F39" s="54"/>
      <c r="G39" s="54"/>
      <c r="H39" s="54"/>
      <c r="I39" s="54"/>
    </row>
    <row r="40" customFormat="1" ht="22.5" customHeight="1" spans="1:9">
      <c r="A40" s="35"/>
      <c r="B40" s="36" t="s">
        <v>347</v>
      </c>
      <c r="C40" s="36" t="s">
        <v>348</v>
      </c>
      <c r="D40" s="36" t="s">
        <v>349</v>
      </c>
      <c r="E40" s="36"/>
      <c r="F40" s="36"/>
      <c r="G40" s="36"/>
      <c r="H40" s="36"/>
      <c r="I40" s="37"/>
    </row>
    <row r="41" ht="22.5" customHeight="1" spans="1:9">
      <c r="A41" s="41" t="s">
        <v>343</v>
      </c>
      <c r="B41" s="42">
        <v>69.3</v>
      </c>
      <c r="C41" s="42">
        <v>70.57</v>
      </c>
      <c r="D41" s="42">
        <v>70.66</v>
      </c>
      <c r="E41" s="43" t="str">
        <f t="shared" ref="E41:E56" si="4">_xlfn.CONCAT(ROUND(AVERAGE(B41:D41),2),"±",ROUND(_xlfn.STDEV.S(B41:D41),2))</f>
        <v>70.18±0.76</v>
      </c>
      <c r="F41" s="58"/>
      <c r="G41" s="58"/>
      <c r="H41" s="58"/>
      <c r="I41" s="58"/>
    </row>
    <row r="42" ht="22.5" customHeight="1" spans="1:9">
      <c r="A42" s="44" t="s">
        <v>11</v>
      </c>
      <c r="B42" s="45">
        <v>70.67</v>
      </c>
      <c r="C42" s="45">
        <v>73.22</v>
      </c>
      <c r="D42" s="45">
        <v>73.8</v>
      </c>
      <c r="E42" s="46" t="str">
        <f t="shared" si="4"/>
        <v>72.56±1.67</v>
      </c>
      <c r="F42" s="59"/>
      <c r="G42" s="59"/>
      <c r="H42" s="59"/>
      <c r="I42" s="59"/>
    </row>
    <row r="43" ht="22.5" customHeight="1" spans="1:9">
      <c r="A43" s="41" t="s">
        <v>17</v>
      </c>
      <c r="B43" s="42">
        <v>59.23</v>
      </c>
      <c r="C43" s="42">
        <v>60.8</v>
      </c>
      <c r="D43" s="42">
        <v>59.58</v>
      </c>
      <c r="E43" s="43" t="str">
        <f t="shared" si="4"/>
        <v>59.87±0.82</v>
      </c>
      <c r="F43" s="58"/>
      <c r="G43" s="58"/>
      <c r="H43" s="58"/>
      <c r="I43" s="58"/>
    </row>
    <row r="44" ht="22.5" customHeight="1" spans="1:9">
      <c r="A44" s="44" t="s">
        <v>23</v>
      </c>
      <c r="B44" s="45">
        <v>45.81</v>
      </c>
      <c r="C44" s="45">
        <v>45.83</v>
      </c>
      <c r="D44" s="45">
        <v>45.36</v>
      </c>
      <c r="E44" s="46" t="str">
        <f t="shared" si="4"/>
        <v>45.67±0.27</v>
      </c>
      <c r="F44" s="59"/>
      <c r="G44" s="59"/>
      <c r="H44" s="59"/>
      <c r="I44" s="59"/>
    </row>
    <row r="45" ht="22.5" customHeight="1" spans="1:9">
      <c r="A45" s="41" t="s">
        <v>29</v>
      </c>
      <c r="B45" s="42">
        <v>50.38</v>
      </c>
      <c r="C45" s="42">
        <v>55.56</v>
      </c>
      <c r="D45" s="42">
        <v>55.51</v>
      </c>
      <c r="E45" s="43" t="str">
        <f t="shared" si="4"/>
        <v>53.82±2.98</v>
      </c>
      <c r="F45" s="58"/>
      <c r="G45" s="58"/>
      <c r="H45" s="58"/>
      <c r="I45" s="58"/>
    </row>
    <row r="46" ht="22.5" customHeight="1" spans="1:9">
      <c r="A46" s="44" t="s">
        <v>88</v>
      </c>
      <c r="B46" s="45">
        <v>80.34</v>
      </c>
      <c r="C46" s="45">
        <v>79.84</v>
      </c>
      <c r="D46" s="45">
        <v>78.49</v>
      </c>
      <c r="E46" s="46" t="str">
        <f t="shared" si="4"/>
        <v>79.56±0.96</v>
      </c>
      <c r="F46" s="59"/>
      <c r="G46" s="59"/>
      <c r="H46" s="59"/>
      <c r="I46" s="59"/>
    </row>
    <row r="47" ht="22.5" customHeight="1" spans="1:9">
      <c r="A47" s="41" t="s">
        <v>94</v>
      </c>
      <c r="B47" s="42">
        <v>19.36</v>
      </c>
      <c r="C47" s="42">
        <v>20.84</v>
      </c>
      <c r="D47" s="42">
        <v>31.17</v>
      </c>
      <c r="E47" s="43" t="str">
        <f t="shared" si="4"/>
        <v>23.79±6.43</v>
      </c>
      <c r="F47" s="58"/>
      <c r="G47" s="58"/>
      <c r="H47" s="58"/>
      <c r="I47" s="58"/>
    </row>
    <row r="48" ht="22.5" customHeight="1" spans="1:9">
      <c r="A48" s="44" t="s">
        <v>100</v>
      </c>
      <c r="B48" s="45">
        <v>84.38</v>
      </c>
      <c r="C48" s="45">
        <v>84.72</v>
      </c>
      <c r="D48" s="45">
        <v>85.35</v>
      </c>
      <c r="E48" s="46" t="str">
        <f t="shared" si="4"/>
        <v>84.82±0.49</v>
      </c>
      <c r="F48" s="59"/>
      <c r="G48" s="59"/>
      <c r="H48" s="59"/>
      <c r="I48" s="59"/>
    </row>
    <row r="49" ht="22.5" customHeight="1" spans="1:9">
      <c r="A49" s="41" t="s">
        <v>106</v>
      </c>
      <c r="B49" s="47">
        <v>95.9</v>
      </c>
      <c r="C49" s="42">
        <v>96.72</v>
      </c>
      <c r="D49" s="42">
        <v>96.47</v>
      </c>
      <c r="E49" s="43" t="str">
        <f t="shared" si="4"/>
        <v>96.36±0.42</v>
      </c>
      <c r="F49" s="58"/>
      <c r="G49" s="58"/>
      <c r="H49" s="58"/>
      <c r="I49" s="58"/>
    </row>
    <row r="50" ht="22.5" customHeight="1" spans="1:9">
      <c r="A50" s="44" t="s">
        <v>112</v>
      </c>
      <c r="B50" s="45">
        <v>61.26</v>
      </c>
      <c r="C50" s="45">
        <v>59.39</v>
      </c>
      <c r="D50" s="48">
        <v>55.2</v>
      </c>
      <c r="E50" s="46" t="str">
        <f t="shared" si="4"/>
        <v>58.62±3.1</v>
      </c>
      <c r="F50" s="59"/>
      <c r="G50" s="59"/>
      <c r="H50" s="59"/>
      <c r="I50" s="59"/>
    </row>
    <row r="51" ht="22.5" customHeight="1" spans="1:9">
      <c r="A51" s="41" t="s">
        <v>37</v>
      </c>
      <c r="B51" s="42">
        <v>93.46</v>
      </c>
      <c r="C51" s="42">
        <v>93.57</v>
      </c>
      <c r="D51" s="47">
        <v>93.6</v>
      </c>
      <c r="E51" s="43" t="str">
        <f t="shared" si="4"/>
        <v>93.54±0.07</v>
      </c>
      <c r="F51" s="58"/>
      <c r="G51" s="58"/>
      <c r="H51" s="58"/>
      <c r="I51" s="58"/>
    </row>
    <row r="52" ht="22.5" customHeight="1" spans="1:9">
      <c r="A52" s="44" t="s">
        <v>123</v>
      </c>
      <c r="B52" s="45">
        <v>72.27</v>
      </c>
      <c r="C52" s="45">
        <v>72.24</v>
      </c>
      <c r="D52" s="45">
        <v>72.83</v>
      </c>
      <c r="E52" s="46" t="str">
        <f t="shared" si="4"/>
        <v>72.45±0.33</v>
      </c>
      <c r="F52" s="59"/>
      <c r="G52" s="59"/>
      <c r="H52" s="59"/>
      <c r="I52" s="59"/>
    </row>
    <row r="53" ht="22.5" customHeight="1" spans="1:9">
      <c r="A53" s="41" t="s">
        <v>129</v>
      </c>
      <c r="B53" s="47">
        <v>60.5</v>
      </c>
      <c r="C53" s="42">
        <v>66.53</v>
      </c>
      <c r="D53" s="42">
        <v>63.39</v>
      </c>
      <c r="E53" s="43" t="str">
        <f t="shared" si="4"/>
        <v>63.47±3.02</v>
      </c>
      <c r="F53" s="58"/>
      <c r="G53" s="58"/>
      <c r="H53" s="58"/>
      <c r="I53" s="58"/>
    </row>
    <row r="54" ht="22.5" customHeight="1" spans="1:9">
      <c r="A54" s="44" t="s">
        <v>43</v>
      </c>
      <c r="B54" s="45">
        <v>87.77</v>
      </c>
      <c r="C54" s="45">
        <v>87.17</v>
      </c>
      <c r="D54" s="45">
        <v>85.89</v>
      </c>
      <c r="E54" s="46" t="str">
        <f t="shared" si="4"/>
        <v>86.94±0.96</v>
      </c>
      <c r="F54" s="59"/>
      <c r="G54" s="59"/>
      <c r="H54" s="59"/>
      <c r="I54" s="59"/>
    </row>
    <row r="55" ht="22.5" customHeight="1" spans="1:9">
      <c r="A55" s="41" t="s">
        <v>140</v>
      </c>
      <c r="B55" s="42">
        <v>64.96</v>
      </c>
      <c r="C55" s="42">
        <v>69.76</v>
      </c>
      <c r="D55" s="42">
        <v>70.82</v>
      </c>
      <c r="E55" s="43" t="str">
        <f t="shared" si="4"/>
        <v>68.51±3.12</v>
      </c>
      <c r="F55" s="58"/>
      <c r="G55" s="58"/>
      <c r="H55" s="58"/>
      <c r="I55" s="58"/>
    </row>
    <row r="56" ht="22.5" customHeight="1" spans="1:9">
      <c r="A56" s="60" t="s">
        <v>49</v>
      </c>
      <c r="B56" s="61">
        <v>93.17</v>
      </c>
      <c r="C56" s="61">
        <v>92.42</v>
      </c>
      <c r="D56" s="61">
        <v>92.46</v>
      </c>
      <c r="E56" s="62" t="str">
        <f t="shared" si="4"/>
        <v>92.68±0.42</v>
      </c>
      <c r="F56" s="63"/>
      <c r="G56" s="63"/>
      <c r="H56" s="63"/>
      <c r="I56" s="63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topLeftCell="A23" workbookViewId="0">
      <selection activeCell="V14" sqref="V14"/>
    </sheetView>
  </sheetViews>
  <sheetFormatPr defaultColWidth="9" defaultRowHeight="13.5"/>
  <cols>
    <col min="1" max="1" width="23.75" style="1" customWidth="1"/>
    <col min="2" max="9" width="22.375" style="1" customWidth="1"/>
    <col min="10" max="16384" width="9" style="1"/>
  </cols>
  <sheetData>
    <row r="1" ht="22" customHeight="1" spans="1:9">
      <c r="A1" s="2"/>
      <c r="B1" s="3" t="s">
        <v>337</v>
      </c>
      <c r="C1" s="3" t="s">
        <v>338</v>
      </c>
      <c r="D1" s="3" t="s">
        <v>339</v>
      </c>
      <c r="E1" s="4"/>
      <c r="F1" s="3" t="s">
        <v>340</v>
      </c>
      <c r="G1" s="3" t="s">
        <v>341</v>
      </c>
      <c r="H1" s="3" t="s">
        <v>342</v>
      </c>
      <c r="I1" s="5"/>
    </row>
    <row r="2" ht="22" customHeight="1" spans="1:9">
      <c r="A2" s="6" t="s">
        <v>343</v>
      </c>
      <c r="B2" s="7">
        <v>79.43</v>
      </c>
      <c r="C2" s="7">
        <v>77.49</v>
      </c>
      <c r="D2" s="7">
        <v>77.49</v>
      </c>
      <c r="E2" s="8" t="str">
        <f t="shared" ref="E2:E22" si="0">_xlfn.CONCAT(ROUND(AVERAGE(B2:D2),2),"±",ROUND(_xlfn.STDEV.S(B2:D2),2))</f>
        <v>78.14±1.12</v>
      </c>
      <c r="F2" s="9">
        <v>86.41</v>
      </c>
      <c r="G2" s="9">
        <v>86.15</v>
      </c>
      <c r="H2" s="9">
        <v>86.81</v>
      </c>
      <c r="I2" s="10" t="str">
        <f t="shared" ref="I2:I22" si="1">_xlfn.CONCAT(ROUND(AVERAGE(F2:H2),2),"±",ROUND(_xlfn.STDEV.S(F2:H2),2))</f>
        <v>86.46±0.33</v>
      </c>
    </row>
    <row r="3" ht="22" customHeight="1" spans="1:9">
      <c r="A3" s="11" t="s">
        <v>350</v>
      </c>
      <c r="B3" s="12">
        <v>91.34</v>
      </c>
      <c r="C3" s="12">
        <v>88.17</v>
      </c>
      <c r="D3" s="12">
        <v>90.15</v>
      </c>
      <c r="E3" s="13" t="str">
        <f t="shared" si="0"/>
        <v>89.89±1.6</v>
      </c>
      <c r="F3" s="12">
        <v>96.36</v>
      </c>
      <c r="G3" s="12">
        <v>96.45</v>
      </c>
      <c r="H3" s="12">
        <v>96.63</v>
      </c>
      <c r="I3" s="14" t="str">
        <f t="shared" si="1"/>
        <v>96.48±0.14</v>
      </c>
    </row>
    <row r="4" ht="22" customHeight="1" spans="1:9">
      <c r="A4" s="15" t="s">
        <v>351</v>
      </c>
      <c r="B4" s="16">
        <v>76.48</v>
      </c>
      <c r="C4" s="16">
        <v>83.28</v>
      </c>
      <c r="D4" s="16">
        <v>84.99</v>
      </c>
      <c r="E4" s="17" t="str">
        <f t="shared" si="0"/>
        <v>81.58±4.5</v>
      </c>
      <c r="F4" s="16">
        <v>91.97</v>
      </c>
      <c r="G4" s="16">
        <v>91.17</v>
      </c>
      <c r="H4" s="16">
        <v>91.78</v>
      </c>
      <c r="I4" s="18" t="str">
        <f t="shared" si="1"/>
        <v>91.64±0.42</v>
      </c>
    </row>
    <row r="5" ht="22" customHeight="1" spans="1:9">
      <c r="A5" s="11" t="s">
        <v>289</v>
      </c>
      <c r="B5" s="12">
        <v>93.71</v>
      </c>
      <c r="C5" s="12">
        <v>88.97</v>
      </c>
      <c r="D5" s="12">
        <v>89.29</v>
      </c>
      <c r="E5" s="13" t="str">
        <f t="shared" si="0"/>
        <v>90.66±2.65</v>
      </c>
      <c r="F5" s="12">
        <v>94.58</v>
      </c>
      <c r="G5" s="12">
        <v>94.45</v>
      </c>
      <c r="H5" s="12">
        <v>94.75</v>
      </c>
      <c r="I5" s="14" t="str">
        <f t="shared" si="1"/>
        <v>94.59±0.15</v>
      </c>
    </row>
    <row r="6" ht="22" customHeight="1" spans="1:9">
      <c r="A6" s="15" t="s">
        <v>352</v>
      </c>
      <c r="B6" s="16">
        <v>84.19</v>
      </c>
      <c r="C6" s="16">
        <v>85.53</v>
      </c>
      <c r="D6" s="16">
        <v>82.46</v>
      </c>
      <c r="E6" s="17" t="str">
        <f t="shared" si="0"/>
        <v>84.06±1.54</v>
      </c>
      <c r="F6" s="16">
        <v>91.49</v>
      </c>
      <c r="G6" s="16">
        <v>89.35</v>
      </c>
      <c r="H6" s="16">
        <v>90.01</v>
      </c>
      <c r="I6" s="18" t="str">
        <f t="shared" si="1"/>
        <v>90.28±1.1</v>
      </c>
    </row>
    <row r="7" ht="22" customHeight="1" spans="1:9">
      <c r="A7" s="11" t="s">
        <v>353</v>
      </c>
      <c r="B7" s="12">
        <v>92.85</v>
      </c>
      <c r="C7" s="12">
        <v>92.67</v>
      </c>
      <c r="D7" s="12">
        <v>91.24</v>
      </c>
      <c r="E7" s="13" t="str">
        <f t="shared" si="0"/>
        <v>92.25±0.88</v>
      </c>
      <c r="F7" s="12">
        <v>95.34</v>
      </c>
      <c r="G7" s="12">
        <v>95.39</v>
      </c>
      <c r="H7" s="12">
        <v>95.58</v>
      </c>
      <c r="I7" s="14" t="str">
        <f t="shared" si="1"/>
        <v>95.44±0.13</v>
      </c>
    </row>
    <row r="8" ht="22" customHeight="1" spans="1:9">
      <c r="A8" s="15" t="s">
        <v>354</v>
      </c>
      <c r="B8" s="16">
        <v>91.85</v>
      </c>
      <c r="C8" s="16">
        <v>90.78</v>
      </c>
      <c r="D8" s="16">
        <v>88.64</v>
      </c>
      <c r="E8" s="17" t="str">
        <f t="shared" si="0"/>
        <v>90.42±1.63</v>
      </c>
      <c r="F8" s="16">
        <v>93.69</v>
      </c>
      <c r="G8" s="16">
        <v>93.35</v>
      </c>
      <c r="H8" s="16">
        <v>92.74</v>
      </c>
      <c r="I8" s="18" t="str">
        <f t="shared" si="1"/>
        <v>93.26±0.48</v>
      </c>
    </row>
    <row r="9" ht="22" customHeight="1" spans="1:9">
      <c r="A9" s="11" t="s">
        <v>292</v>
      </c>
      <c r="B9" s="12">
        <v>53.58</v>
      </c>
      <c r="C9" s="12">
        <v>46.22</v>
      </c>
      <c r="D9" s="12">
        <v>47.24</v>
      </c>
      <c r="E9" s="13" t="str">
        <f t="shared" si="0"/>
        <v>49.01±3.99</v>
      </c>
      <c r="F9" s="12">
        <v>59.89</v>
      </c>
      <c r="G9" s="12">
        <v>59.33</v>
      </c>
      <c r="H9" s="12">
        <v>60.73</v>
      </c>
      <c r="I9" s="14" t="str">
        <f t="shared" si="1"/>
        <v>59.98±0.7</v>
      </c>
    </row>
    <row r="10" ht="22" customHeight="1" spans="1:9">
      <c r="A10" s="15" t="s">
        <v>355</v>
      </c>
      <c r="B10" s="16">
        <v>86.87</v>
      </c>
      <c r="C10" s="16">
        <v>86.86</v>
      </c>
      <c r="D10" s="16">
        <v>87.52</v>
      </c>
      <c r="E10" s="17" t="str">
        <f t="shared" si="0"/>
        <v>87.08±0.38</v>
      </c>
      <c r="F10" s="16">
        <v>91.53</v>
      </c>
      <c r="G10" s="16">
        <v>89.61</v>
      </c>
      <c r="H10" s="16">
        <v>91.65</v>
      </c>
      <c r="I10" s="18" t="str">
        <f t="shared" si="1"/>
        <v>90.93±1.14</v>
      </c>
    </row>
    <row r="11" ht="22" customHeight="1" spans="1:9">
      <c r="A11" s="11" t="s">
        <v>356</v>
      </c>
      <c r="B11" s="12">
        <v>63.53</v>
      </c>
      <c r="C11" s="12">
        <v>64.82</v>
      </c>
      <c r="D11" s="12">
        <v>65.32</v>
      </c>
      <c r="E11" s="13" t="str">
        <f t="shared" si="0"/>
        <v>64.56±0.92</v>
      </c>
      <c r="F11" s="12">
        <v>77.95</v>
      </c>
      <c r="G11" s="12">
        <v>75.98</v>
      </c>
      <c r="H11" s="12">
        <v>82.44</v>
      </c>
      <c r="I11" s="14" t="str">
        <f t="shared" si="1"/>
        <v>78.79±3.31</v>
      </c>
    </row>
    <row r="12" ht="22" customHeight="1" spans="1:9">
      <c r="A12" s="15" t="s">
        <v>357</v>
      </c>
      <c r="B12" s="19">
        <v>79.1</v>
      </c>
      <c r="C12" s="16">
        <v>85.12</v>
      </c>
      <c r="D12" s="16">
        <v>82.31</v>
      </c>
      <c r="E12" s="17" t="str">
        <f t="shared" si="0"/>
        <v>82.18±3.01</v>
      </c>
      <c r="F12" s="16">
        <v>90.13</v>
      </c>
      <c r="G12" s="19">
        <v>91.1</v>
      </c>
      <c r="H12" s="16">
        <v>92.31</v>
      </c>
      <c r="I12" s="18" t="str">
        <f t="shared" si="1"/>
        <v>91.18±1.09</v>
      </c>
    </row>
    <row r="13" ht="22" customHeight="1" spans="1:9">
      <c r="A13" s="11" t="s">
        <v>358</v>
      </c>
      <c r="B13" s="12">
        <v>87.18</v>
      </c>
      <c r="C13" s="12">
        <v>82.74</v>
      </c>
      <c r="D13" s="12">
        <v>83.72</v>
      </c>
      <c r="E13" s="13" t="str">
        <f t="shared" si="0"/>
        <v>84.55±2.33</v>
      </c>
      <c r="F13" s="12">
        <v>91.17</v>
      </c>
      <c r="G13" s="12">
        <v>92.66</v>
      </c>
      <c r="H13" s="12">
        <v>91.21</v>
      </c>
      <c r="I13" s="14" t="str">
        <f t="shared" si="1"/>
        <v>91.68±0.85</v>
      </c>
    </row>
    <row r="14" ht="22" customHeight="1" spans="1:9">
      <c r="A14" s="15" t="s">
        <v>294</v>
      </c>
      <c r="B14" s="16">
        <v>64.16</v>
      </c>
      <c r="C14" s="16">
        <v>57.13</v>
      </c>
      <c r="D14" s="16">
        <v>59.18</v>
      </c>
      <c r="E14" s="17" t="str">
        <f t="shared" si="0"/>
        <v>60.16±3.62</v>
      </c>
      <c r="F14" s="16">
        <v>75.43</v>
      </c>
      <c r="G14" s="16">
        <v>73.69</v>
      </c>
      <c r="H14" s="16">
        <v>74.01</v>
      </c>
      <c r="I14" s="18" t="str">
        <f t="shared" si="1"/>
        <v>74.38±0.93</v>
      </c>
    </row>
    <row r="15" ht="22" customHeight="1" spans="1:9">
      <c r="A15" s="11" t="s">
        <v>359</v>
      </c>
      <c r="B15" s="12">
        <v>66.54</v>
      </c>
      <c r="C15" s="12">
        <v>64.99</v>
      </c>
      <c r="D15" s="12">
        <v>64.96</v>
      </c>
      <c r="E15" s="13" t="str">
        <f t="shared" si="0"/>
        <v>65.5±0.9</v>
      </c>
      <c r="F15" s="12">
        <v>76.41</v>
      </c>
      <c r="G15" s="12">
        <v>75.86</v>
      </c>
      <c r="H15" s="12">
        <v>76.59</v>
      </c>
      <c r="I15" s="14" t="str">
        <f t="shared" si="1"/>
        <v>76.29±0.38</v>
      </c>
    </row>
    <row r="16" ht="22" customHeight="1" spans="1:9">
      <c r="A16" s="15" t="s">
        <v>295</v>
      </c>
      <c r="B16" s="16">
        <v>89.62</v>
      </c>
      <c r="C16" s="16">
        <v>85.82</v>
      </c>
      <c r="D16" s="16">
        <v>85.54</v>
      </c>
      <c r="E16" s="17" t="str">
        <f t="shared" si="0"/>
        <v>86.99±2.28</v>
      </c>
      <c r="F16" s="16">
        <v>95.18</v>
      </c>
      <c r="G16" s="16">
        <v>95.33</v>
      </c>
      <c r="H16" s="16">
        <v>94.93</v>
      </c>
      <c r="I16" s="18" t="str">
        <f t="shared" si="1"/>
        <v>95.15±0.2</v>
      </c>
    </row>
    <row r="17" ht="22" customHeight="1" spans="1:10">
      <c r="A17" s="11" t="s">
        <v>360</v>
      </c>
      <c r="B17" s="12">
        <v>93.64</v>
      </c>
      <c r="C17" s="12">
        <v>93.86</v>
      </c>
      <c r="D17" s="12">
        <v>91.63</v>
      </c>
      <c r="E17" s="13" t="str">
        <f t="shared" si="0"/>
        <v>93.04±1.23</v>
      </c>
      <c r="F17" s="12">
        <v>93.73</v>
      </c>
      <c r="G17" s="12">
        <v>94.28</v>
      </c>
      <c r="H17" s="12">
        <v>94.72</v>
      </c>
      <c r="I17" s="14" t="str">
        <f t="shared" si="1"/>
        <v>94.24±0.5</v>
      </c>
    </row>
    <row r="18" ht="22" customHeight="1" spans="1:10">
      <c r="A18" s="15" t="s">
        <v>361</v>
      </c>
      <c r="B18" s="19">
        <v>81.4</v>
      </c>
      <c r="C18" s="16">
        <v>76.09</v>
      </c>
      <c r="D18" s="16">
        <v>74.25</v>
      </c>
      <c r="E18" s="17" t="str">
        <f t="shared" si="0"/>
        <v>77.25±3.71</v>
      </c>
      <c r="F18" s="16">
        <v>89.86</v>
      </c>
      <c r="G18" s="16">
        <v>89.96</v>
      </c>
      <c r="H18" s="16">
        <v>90.21</v>
      </c>
      <c r="I18" s="18" t="str">
        <f t="shared" si="1"/>
        <v>90.01±0.18</v>
      </c>
    </row>
    <row r="19" ht="22" customHeight="1" spans="1:10">
      <c r="A19" s="11" t="s">
        <v>362</v>
      </c>
      <c r="B19" s="12">
        <v>95.02</v>
      </c>
      <c r="C19" s="12">
        <v>95.36</v>
      </c>
      <c r="D19" s="12">
        <v>94.36</v>
      </c>
      <c r="E19" s="13" t="str">
        <f t="shared" si="0"/>
        <v>94.91±0.51</v>
      </c>
      <c r="F19" s="12">
        <v>97.47</v>
      </c>
      <c r="G19" s="12">
        <v>97.77</v>
      </c>
      <c r="H19" s="12">
        <v>97.64</v>
      </c>
      <c r="I19" s="14" t="str">
        <f t="shared" si="1"/>
        <v>97.63±0.15</v>
      </c>
    </row>
    <row r="20" ht="22" customHeight="1" spans="1:10">
      <c r="A20" s="15" t="s">
        <v>363</v>
      </c>
      <c r="B20" s="16">
        <v>58.29</v>
      </c>
      <c r="C20" s="16">
        <v>56.09</v>
      </c>
      <c r="D20" s="16">
        <v>59.84</v>
      </c>
      <c r="E20" s="17" t="str">
        <f t="shared" si="0"/>
        <v>58.07±1.88</v>
      </c>
      <c r="F20" s="16">
        <v>67.91</v>
      </c>
      <c r="G20" s="16">
        <v>69.38</v>
      </c>
      <c r="H20" s="16">
        <v>70.06</v>
      </c>
      <c r="I20" s="18" t="str">
        <f t="shared" si="1"/>
        <v>69.12±1.1</v>
      </c>
    </row>
    <row r="21" ht="22" customHeight="1" spans="1:10">
      <c r="A21" s="11" t="s">
        <v>298</v>
      </c>
      <c r="B21" s="12">
        <v>56.18</v>
      </c>
      <c r="C21" s="12">
        <v>46.78</v>
      </c>
      <c r="D21" s="12">
        <v>47.43</v>
      </c>
      <c r="E21" s="13" t="str">
        <f t="shared" si="0"/>
        <v>50.13±5.25</v>
      </c>
      <c r="F21" s="12">
        <v>71.08</v>
      </c>
      <c r="G21" s="20">
        <v>70.9</v>
      </c>
      <c r="H21" s="12">
        <v>70.55</v>
      </c>
      <c r="I21" s="14" t="str">
        <f t="shared" si="1"/>
        <v>70.84±0.27</v>
      </c>
    </row>
    <row r="22" ht="22" customHeight="1" spans="1:10">
      <c r="A22" s="15" t="s">
        <v>364</v>
      </c>
      <c r="B22" s="16">
        <v>83.16</v>
      </c>
      <c r="C22" s="16">
        <v>78.44</v>
      </c>
      <c r="D22" s="16">
        <v>79.75</v>
      </c>
      <c r="E22" s="17" t="str">
        <f t="shared" si="0"/>
        <v>80.45±2.44</v>
      </c>
      <c r="F22" s="16">
        <v>87.03</v>
      </c>
      <c r="G22" s="16">
        <v>87.01</v>
      </c>
      <c r="H22" s="16">
        <v>87.57</v>
      </c>
      <c r="I22" s="18" t="str">
        <f t="shared" si="1"/>
        <v>87.2±0.32</v>
      </c>
    </row>
    <row r="23" ht="22" customHeight="1" spans="1:10">
      <c r="A23" s="21"/>
      <c r="B23" s="12"/>
      <c r="C23" s="12"/>
      <c r="D23" s="12"/>
      <c r="E23" s="12"/>
      <c r="F23" s="22"/>
      <c r="G23" s="22"/>
      <c r="H23" s="22"/>
      <c r="I23" s="23"/>
    </row>
    <row r="24" ht="22" customHeight="1" spans="1:10">
      <c r="A24" s="24"/>
      <c r="B24" s="25"/>
      <c r="C24" s="25"/>
      <c r="D24" s="25"/>
      <c r="E24" s="25"/>
      <c r="F24" s="25"/>
      <c r="G24" s="25"/>
      <c r="H24" s="25"/>
      <c r="I24" s="26"/>
    </row>
    <row r="25" ht="22" customHeight="1" spans="1:10">
      <c r="A25" s="21"/>
      <c r="B25" s="12"/>
      <c r="C25" s="12"/>
      <c r="D25" s="12"/>
      <c r="E25" s="12"/>
      <c r="F25" s="22"/>
      <c r="G25" s="22"/>
      <c r="H25" s="22"/>
      <c r="I25" s="23"/>
    </row>
    <row r="26" ht="22" customHeight="1" spans="1:10">
      <c r="A26" s="2"/>
      <c r="B26" s="3" t="s">
        <v>344</v>
      </c>
      <c r="C26" s="3" t="s">
        <v>345</v>
      </c>
      <c r="D26" s="3" t="s">
        <v>346</v>
      </c>
      <c r="E26" s="4"/>
      <c r="F26" s="3" t="s">
        <v>328</v>
      </c>
      <c r="G26" s="3" t="s">
        <v>329</v>
      </c>
      <c r="H26" s="3" t="s">
        <v>330</v>
      </c>
      <c r="I26" s="5"/>
    </row>
    <row r="27" ht="22" customHeight="1" spans="1:10">
      <c r="A27" s="11" t="s">
        <v>343</v>
      </c>
      <c r="B27" s="12">
        <v>84.56</v>
      </c>
      <c r="C27" s="12">
        <v>87.8</v>
      </c>
      <c r="D27" s="12">
        <v>87.77</v>
      </c>
      <c r="E27" s="13" t="str">
        <f t="shared" ref="E27:E47" si="2">_xlfn.CONCAT(ROUND(AVERAGE(B27:D27),2),"±",ROUND(_xlfn.STDEV.S(B27:D27),2))</f>
        <v>86.71±1.86</v>
      </c>
      <c r="F27" s="12">
        <v>88.01</v>
      </c>
      <c r="G27" s="12">
        <v>88.26</v>
      </c>
      <c r="H27" s="12">
        <v>88.31</v>
      </c>
      <c r="I27" s="14" t="str">
        <f t="shared" ref="I27:I47" si="3">_xlfn.CONCAT(ROUND(AVERAGE(F27:H27),2),"±",ROUND(_xlfn.STDEV.S(F27:H27),2))</f>
        <v>88.19±0.16</v>
      </c>
      <c r="J27" s="27"/>
    </row>
    <row r="28" ht="22" customHeight="1" spans="1:10">
      <c r="A28" s="15" t="s">
        <v>350</v>
      </c>
      <c r="B28" s="16">
        <v>96.66</v>
      </c>
      <c r="C28" s="16">
        <v>96.84</v>
      </c>
      <c r="D28" s="16">
        <v>95.65</v>
      </c>
      <c r="E28" s="17" t="str">
        <f t="shared" si="2"/>
        <v>96.38±0.64</v>
      </c>
      <c r="F28" s="16">
        <v>97.12</v>
      </c>
      <c r="G28" s="16">
        <v>96.91</v>
      </c>
      <c r="H28" s="16">
        <v>96.58</v>
      </c>
      <c r="I28" s="18" t="str">
        <f t="shared" si="3"/>
        <v>96.87±0.27</v>
      </c>
      <c r="J28" s="27"/>
    </row>
    <row r="29" ht="22" customHeight="1" spans="1:10">
      <c r="A29" s="11" t="s">
        <v>351</v>
      </c>
      <c r="B29" s="12">
        <v>89.16</v>
      </c>
      <c r="C29" s="12">
        <v>93.32</v>
      </c>
      <c r="D29" s="12">
        <v>93.45</v>
      </c>
      <c r="E29" s="13" t="str">
        <f t="shared" si="2"/>
        <v>91.98±2.44</v>
      </c>
      <c r="F29" s="12">
        <v>93.3</v>
      </c>
      <c r="G29" s="12">
        <v>94.68</v>
      </c>
      <c r="H29" s="12">
        <v>93.36</v>
      </c>
      <c r="I29" s="14" t="str">
        <f t="shared" si="3"/>
        <v>93.78±0.78</v>
      </c>
      <c r="J29" s="27"/>
    </row>
    <row r="30" ht="22" customHeight="1" spans="1:10">
      <c r="A30" s="15" t="s">
        <v>289</v>
      </c>
      <c r="B30" s="16">
        <v>92.79</v>
      </c>
      <c r="C30" s="16">
        <v>95.08</v>
      </c>
      <c r="D30" s="16">
        <v>95.76</v>
      </c>
      <c r="E30" s="17" t="str">
        <f t="shared" si="2"/>
        <v>94.54±1.56</v>
      </c>
      <c r="F30" s="16">
        <v>95.15</v>
      </c>
      <c r="G30" s="16">
        <v>95.01</v>
      </c>
      <c r="H30" s="16">
        <v>95.3</v>
      </c>
      <c r="I30" s="18" t="str">
        <f t="shared" si="3"/>
        <v>95.15±0.15</v>
      </c>
      <c r="J30" s="27"/>
    </row>
    <row r="31" ht="22" customHeight="1" spans="1:10">
      <c r="A31" s="11" t="s">
        <v>352</v>
      </c>
      <c r="B31" s="12">
        <v>94.19</v>
      </c>
      <c r="C31" s="12">
        <v>90.54</v>
      </c>
      <c r="D31" s="12">
        <v>88.43</v>
      </c>
      <c r="E31" s="13" t="str">
        <f t="shared" si="2"/>
        <v>91.05±2.91</v>
      </c>
      <c r="F31" s="12">
        <v>95.19</v>
      </c>
      <c r="G31" s="12">
        <v>91.27</v>
      </c>
      <c r="H31" s="12">
        <v>92.31</v>
      </c>
      <c r="I31" s="14" t="str">
        <f t="shared" si="3"/>
        <v>92.92±2.03</v>
      </c>
      <c r="J31" s="27"/>
    </row>
    <row r="32" ht="22" customHeight="1" spans="1:10">
      <c r="A32" s="15" t="s">
        <v>353</v>
      </c>
      <c r="B32" s="19">
        <v>94.9</v>
      </c>
      <c r="C32" s="16">
        <v>96.18</v>
      </c>
      <c r="D32" s="16">
        <v>95.81</v>
      </c>
      <c r="E32" s="17" t="str">
        <f t="shared" si="2"/>
        <v>95.63±0.66</v>
      </c>
      <c r="F32" s="16">
        <v>96.02</v>
      </c>
      <c r="G32" s="16">
        <v>96.45</v>
      </c>
      <c r="H32" s="16">
        <v>96.16</v>
      </c>
      <c r="I32" s="18" t="str">
        <f t="shared" si="3"/>
        <v>96.21±0.22</v>
      </c>
      <c r="J32" s="27"/>
    </row>
    <row r="33" ht="22" customHeight="1" spans="1:10">
      <c r="A33" s="11" t="s">
        <v>354</v>
      </c>
      <c r="B33" s="12">
        <v>93.09</v>
      </c>
      <c r="C33" s="12">
        <v>94.55</v>
      </c>
      <c r="D33" s="12">
        <v>93.84</v>
      </c>
      <c r="E33" s="13" t="str">
        <f t="shared" si="2"/>
        <v>93.83±0.73</v>
      </c>
      <c r="F33" s="12">
        <v>94.7</v>
      </c>
      <c r="G33" s="12">
        <v>94.66</v>
      </c>
      <c r="H33" s="12">
        <v>94.06</v>
      </c>
      <c r="I33" s="14" t="str">
        <f t="shared" si="3"/>
        <v>94.47±0.36</v>
      </c>
      <c r="J33" s="27"/>
    </row>
    <row r="34" ht="22" customHeight="1" spans="1:10">
      <c r="A34" s="15" t="s">
        <v>292</v>
      </c>
      <c r="B34" s="16">
        <v>57.42</v>
      </c>
      <c r="C34" s="16">
        <v>63.01</v>
      </c>
      <c r="D34" s="16">
        <v>62.46</v>
      </c>
      <c r="E34" s="17" t="str">
        <f t="shared" si="2"/>
        <v>60.96±3.08</v>
      </c>
      <c r="F34" s="16">
        <v>63.5</v>
      </c>
      <c r="G34" s="16">
        <v>64.63</v>
      </c>
      <c r="H34" s="16">
        <v>64.93</v>
      </c>
      <c r="I34" s="18" t="str">
        <f t="shared" si="3"/>
        <v>64.35±0.75</v>
      </c>
      <c r="J34" s="27"/>
    </row>
    <row r="35" ht="22" customHeight="1" spans="1:10">
      <c r="A35" s="11" t="s">
        <v>355</v>
      </c>
      <c r="B35" s="12">
        <v>89.66</v>
      </c>
      <c r="C35" s="12">
        <v>93.05</v>
      </c>
      <c r="D35" s="12">
        <v>93.29</v>
      </c>
      <c r="E35" s="13" t="str">
        <f t="shared" si="2"/>
        <v>92±2.03</v>
      </c>
      <c r="F35" s="12">
        <v>92.8</v>
      </c>
      <c r="G35" s="12">
        <v>93.96</v>
      </c>
      <c r="H35" s="12">
        <v>94.03</v>
      </c>
      <c r="I35" s="14" t="str">
        <f t="shared" si="3"/>
        <v>93.6±0.69</v>
      </c>
      <c r="J35" s="27"/>
    </row>
    <row r="36" ht="22" customHeight="1" spans="1:10">
      <c r="A36" s="15" t="s">
        <v>356</v>
      </c>
      <c r="B36" s="16">
        <v>77.44</v>
      </c>
      <c r="C36" s="16">
        <v>82.81</v>
      </c>
      <c r="D36" s="16">
        <v>84.44</v>
      </c>
      <c r="E36" s="17" t="str">
        <f t="shared" si="2"/>
        <v>81.56±3.66</v>
      </c>
      <c r="F36" s="16">
        <v>82.5</v>
      </c>
      <c r="G36" s="16">
        <v>80.44</v>
      </c>
      <c r="H36" s="16">
        <v>84.06</v>
      </c>
      <c r="I36" s="18" t="str">
        <f t="shared" si="3"/>
        <v>82.33±1.82</v>
      </c>
      <c r="J36" s="27"/>
    </row>
    <row r="37" ht="22" customHeight="1" spans="1:10">
      <c r="A37" s="11" t="s">
        <v>357</v>
      </c>
      <c r="B37" s="12">
        <v>93.74</v>
      </c>
      <c r="C37" s="12">
        <v>89.48</v>
      </c>
      <c r="D37" s="12">
        <v>89.65</v>
      </c>
      <c r="E37" s="13" t="str">
        <f t="shared" si="2"/>
        <v>90.96±2.41</v>
      </c>
      <c r="F37" s="12">
        <v>89.1</v>
      </c>
      <c r="G37" s="12">
        <v>88.9</v>
      </c>
      <c r="H37" s="12">
        <v>91.6</v>
      </c>
      <c r="I37" s="14" t="str">
        <f t="shared" si="3"/>
        <v>89.87±1.5</v>
      </c>
      <c r="J37" s="27"/>
    </row>
    <row r="38" ht="22" customHeight="1" spans="1:10">
      <c r="A38" s="15" t="s">
        <v>358</v>
      </c>
      <c r="B38" s="16">
        <v>90</v>
      </c>
      <c r="C38" s="16">
        <v>93.74</v>
      </c>
      <c r="D38" s="16">
        <v>92.78</v>
      </c>
      <c r="E38" s="17" t="str">
        <f t="shared" si="2"/>
        <v>92.17±1.94</v>
      </c>
      <c r="F38" s="16">
        <v>92.21</v>
      </c>
      <c r="G38" s="16">
        <v>93.4</v>
      </c>
      <c r="H38" s="16">
        <v>93.15</v>
      </c>
      <c r="I38" s="18" t="str">
        <f t="shared" si="3"/>
        <v>92.92±0.63</v>
      </c>
      <c r="J38" s="27"/>
    </row>
    <row r="39" ht="22" customHeight="1" spans="1:10">
      <c r="A39" s="11" t="s">
        <v>294</v>
      </c>
      <c r="B39" s="12">
        <v>69.18</v>
      </c>
      <c r="C39" s="12">
        <v>73.84</v>
      </c>
      <c r="D39" s="12">
        <v>74.97</v>
      </c>
      <c r="E39" s="13" t="str">
        <f t="shared" si="2"/>
        <v>72.66±3.07</v>
      </c>
      <c r="F39" s="12">
        <v>75.98</v>
      </c>
      <c r="G39" s="12">
        <v>75.71</v>
      </c>
      <c r="H39" s="12">
        <v>76.24</v>
      </c>
      <c r="I39" s="14" t="str">
        <f t="shared" si="3"/>
        <v>75.98±0.27</v>
      </c>
      <c r="J39" s="27"/>
    </row>
    <row r="40" ht="22" customHeight="1" spans="1:10">
      <c r="A40" s="15" t="s">
        <v>359</v>
      </c>
      <c r="B40" s="16">
        <v>72.57</v>
      </c>
      <c r="C40" s="16">
        <v>76.91</v>
      </c>
      <c r="D40" s="16">
        <v>76.98</v>
      </c>
      <c r="E40" s="17" t="str">
        <f t="shared" si="2"/>
        <v>75.49±2.53</v>
      </c>
      <c r="F40" s="16">
        <v>77.19</v>
      </c>
      <c r="G40" s="16">
        <v>78.12</v>
      </c>
      <c r="H40" s="16">
        <v>78.96</v>
      </c>
      <c r="I40" s="18" t="str">
        <f t="shared" si="3"/>
        <v>78.09±0.89</v>
      </c>
      <c r="J40" s="27"/>
    </row>
    <row r="41" ht="22" customHeight="1" spans="1:10">
      <c r="A41" s="11" t="s">
        <v>295</v>
      </c>
      <c r="B41" s="12">
        <v>89.83</v>
      </c>
      <c r="C41" s="12">
        <v>95.74</v>
      </c>
      <c r="D41" s="12">
        <v>95.71</v>
      </c>
      <c r="E41" s="13" t="str">
        <f t="shared" si="2"/>
        <v>93.76±3.4</v>
      </c>
      <c r="F41" s="12">
        <v>95.65</v>
      </c>
      <c r="G41" s="12">
        <v>96.07</v>
      </c>
      <c r="H41" s="12">
        <v>96.16</v>
      </c>
      <c r="I41" s="14" t="str">
        <f t="shared" si="3"/>
        <v>95.96±0.27</v>
      </c>
      <c r="J41" s="27"/>
    </row>
    <row r="42" ht="22" customHeight="1" spans="1:10">
      <c r="A42" s="15" t="s">
        <v>360</v>
      </c>
      <c r="B42" s="16">
        <v>96.35</v>
      </c>
      <c r="C42" s="16">
        <v>94.85</v>
      </c>
      <c r="D42" s="16">
        <v>93.02</v>
      </c>
      <c r="E42" s="17" t="str">
        <f t="shared" si="2"/>
        <v>94.74±1.67</v>
      </c>
      <c r="F42" s="16">
        <v>93.65</v>
      </c>
      <c r="G42" s="16">
        <v>94.57</v>
      </c>
      <c r="H42" s="16">
        <v>93.79</v>
      </c>
      <c r="I42" s="18" t="str">
        <f t="shared" si="3"/>
        <v>94±0.5</v>
      </c>
      <c r="J42" s="27"/>
    </row>
    <row r="43" ht="22" customHeight="1" spans="1:10">
      <c r="A43" s="11" t="s">
        <v>361</v>
      </c>
      <c r="B43" s="12">
        <v>80.25</v>
      </c>
      <c r="C43" s="12">
        <v>91.33</v>
      </c>
      <c r="D43" s="12">
        <v>91.26</v>
      </c>
      <c r="E43" s="13" t="str">
        <f t="shared" si="2"/>
        <v>87.61±6.38</v>
      </c>
      <c r="F43" s="12">
        <v>91.22</v>
      </c>
      <c r="G43" s="12">
        <v>91.76</v>
      </c>
      <c r="H43" s="12">
        <v>91.88</v>
      </c>
      <c r="I43" s="14" t="str">
        <f t="shared" si="3"/>
        <v>91.62±0.35</v>
      </c>
      <c r="J43" s="27"/>
    </row>
    <row r="44" ht="22" customHeight="1" spans="1:10">
      <c r="A44" s="15" t="s">
        <v>362</v>
      </c>
      <c r="B44" s="16">
        <v>96.84</v>
      </c>
      <c r="C44" s="19">
        <v>98.4</v>
      </c>
      <c r="D44" s="19">
        <v>98.3</v>
      </c>
      <c r="E44" s="17" t="str">
        <f t="shared" si="2"/>
        <v>97.85±0.87</v>
      </c>
      <c r="F44" s="16">
        <v>98.25</v>
      </c>
      <c r="G44" s="16">
        <v>98.23</v>
      </c>
      <c r="H44" s="16">
        <v>98.34</v>
      </c>
      <c r="I44" s="18" t="str">
        <f t="shared" si="3"/>
        <v>98.27±0.06</v>
      </c>
      <c r="J44" s="27"/>
    </row>
    <row r="45" ht="22" customHeight="1" spans="1:10">
      <c r="A45" s="11" t="s">
        <v>363</v>
      </c>
      <c r="B45" s="20">
        <v>81.8</v>
      </c>
      <c r="C45" s="12">
        <v>76.49</v>
      </c>
      <c r="D45" s="12">
        <v>77.56</v>
      </c>
      <c r="E45" s="13" t="str">
        <f t="shared" si="2"/>
        <v>78.62±2.81</v>
      </c>
      <c r="F45" s="12">
        <v>75.83</v>
      </c>
      <c r="G45" s="12">
        <v>77.29</v>
      </c>
      <c r="H45" s="12">
        <v>71.26</v>
      </c>
      <c r="I45" s="14" t="str">
        <f t="shared" si="3"/>
        <v>74.79±3.15</v>
      </c>
      <c r="J45" s="27"/>
    </row>
    <row r="46" ht="22" customHeight="1" spans="1:10">
      <c r="A46" s="15" t="s">
        <v>298</v>
      </c>
      <c r="B46" s="16">
        <v>54.73</v>
      </c>
      <c r="C46" s="16">
        <v>73.92</v>
      </c>
      <c r="D46" s="16">
        <v>73.39</v>
      </c>
      <c r="E46" s="17" t="str">
        <f t="shared" si="2"/>
        <v>67.35±10.93</v>
      </c>
      <c r="F46" s="16">
        <v>73.62</v>
      </c>
      <c r="G46" s="16">
        <v>74.69</v>
      </c>
      <c r="H46" s="16">
        <v>75.2</v>
      </c>
      <c r="I46" s="18" t="str">
        <f t="shared" si="3"/>
        <v>74.5±0.81</v>
      </c>
      <c r="J46" s="27"/>
    </row>
    <row r="47" ht="22" customHeight="1" spans="1:10">
      <c r="A47" s="11" t="s">
        <v>364</v>
      </c>
      <c r="B47" s="12">
        <v>80.59</v>
      </c>
      <c r="C47" s="12">
        <v>85.83</v>
      </c>
      <c r="D47" s="12">
        <v>88.57</v>
      </c>
      <c r="E47" s="13" t="str">
        <f t="shared" si="2"/>
        <v>85±4.05</v>
      </c>
      <c r="F47" s="12">
        <v>87.17</v>
      </c>
      <c r="G47" s="12">
        <v>88.4</v>
      </c>
      <c r="H47" s="12">
        <v>88.78</v>
      </c>
      <c r="I47" s="14" t="str">
        <f t="shared" si="3"/>
        <v>88.12±0.84</v>
      </c>
      <c r="J47" s="27"/>
    </row>
    <row r="48" ht="22" customHeight="1" spans="1:10">
      <c r="A48" s="24"/>
      <c r="B48" s="16"/>
      <c r="C48" s="16"/>
      <c r="D48" s="16"/>
      <c r="E48" s="16"/>
      <c r="F48" s="25"/>
      <c r="G48" s="25"/>
      <c r="H48" s="25"/>
      <c r="I48" s="26"/>
    </row>
    <row r="49" ht="22" customHeight="1" spans="1:9">
      <c r="A49" s="21"/>
      <c r="B49" s="12"/>
      <c r="C49" s="12"/>
      <c r="D49" s="12"/>
      <c r="E49" s="12"/>
      <c r="F49" s="22"/>
      <c r="G49" s="22"/>
      <c r="H49" s="22"/>
      <c r="I49" s="23"/>
    </row>
    <row r="50" ht="22" customHeight="1" spans="1:9">
      <c r="A50" s="2"/>
      <c r="B50" s="3" t="s">
        <v>347</v>
      </c>
      <c r="C50" s="3" t="s">
        <v>348</v>
      </c>
      <c r="D50" s="3" t="s">
        <v>349</v>
      </c>
      <c r="E50" s="4"/>
      <c r="F50" s="3"/>
      <c r="G50" s="3"/>
      <c r="H50" s="3"/>
      <c r="I50" s="5"/>
    </row>
    <row r="51" ht="22" customHeight="1" spans="1:9">
      <c r="A51" s="11" t="s">
        <v>343</v>
      </c>
      <c r="B51" s="28">
        <v>88.61</v>
      </c>
      <c r="C51" s="28">
        <v>88.27</v>
      </c>
      <c r="D51" s="28">
        <v>87.78</v>
      </c>
      <c r="E51" s="13" t="str">
        <f t="shared" ref="E51:E71" si="4">_xlfn.CONCAT(ROUND(AVERAGE(B51:D51),2),"±",ROUND(_xlfn.STDEV.S(B51:D51),2))</f>
        <v>88.22±0.42</v>
      </c>
      <c r="F51" s="22"/>
      <c r="G51" s="22"/>
      <c r="H51" s="22"/>
      <c r="I51" s="23"/>
    </row>
    <row r="52" ht="22" customHeight="1" spans="1:9">
      <c r="A52" s="15" t="s">
        <v>350</v>
      </c>
      <c r="B52" s="16">
        <v>97.09</v>
      </c>
      <c r="C52" s="16">
        <v>96.82</v>
      </c>
      <c r="D52" s="16">
        <v>96.34</v>
      </c>
      <c r="E52" s="17" t="str">
        <f t="shared" si="4"/>
        <v>96.75±0.38</v>
      </c>
      <c r="F52" s="25"/>
      <c r="G52" s="25"/>
      <c r="H52" s="25"/>
      <c r="I52" s="26"/>
    </row>
    <row r="53" ht="22" customHeight="1" spans="1:9">
      <c r="A53" s="11" t="s">
        <v>351</v>
      </c>
      <c r="B53" s="12">
        <v>94.1</v>
      </c>
      <c r="C53" s="12">
        <v>93.15</v>
      </c>
      <c r="D53" s="12">
        <v>91.63</v>
      </c>
      <c r="E53" s="13" t="str">
        <f t="shared" si="4"/>
        <v>92.96±1.25</v>
      </c>
      <c r="F53" s="22"/>
      <c r="G53" s="22"/>
      <c r="H53" s="22"/>
      <c r="I53" s="23"/>
    </row>
    <row r="54" ht="22" customHeight="1" spans="1:9">
      <c r="A54" s="15" t="s">
        <v>289</v>
      </c>
      <c r="B54" s="16">
        <v>95.45</v>
      </c>
      <c r="C54" s="16">
        <v>94.56</v>
      </c>
      <c r="D54" s="16">
        <v>95.57</v>
      </c>
      <c r="E54" s="17" t="str">
        <f t="shared" si="4"/>
        <v>95.19±0.55</v>
      </c>
      <c r="F54" s="25"/>
      <c r="G54" s="25"/>
      <c r="H54" s="25"/>
      <c r="I54" s="26"/>
    </row>
    <row r="55" ht="22" customHeight="1" spans="1:9">
      <c r="A55" s="11" t="s">
        <v>352</v>
      </c>
      <c r="B55" s="12">
        <v>94.2</v>
      </c>
      <c r="C55" s="12">
        <v>94.46</v>
      </c>
      <c r="D55" s="12">
        <v>92.3</v>
      </c>
      <c r="E55" s="13" t="str">
        <f t="shared" si="4"/>
        <v>93.65±1.18</v>
      </c>
      <c r="F55" s="22"/>
      <c r="G55" s="22"/>
      <c r="H55" s="22"/>
      <c r="I55" s="23"/>
    </row>
    <row r="56" ht="22" customHeight="1" spans="1:9">
      <c r="A56" s="15" t="s">
        <v>353</v>
      </c>
      <c r="B56" s="16">
        <v>96.06</v>
      </c>
      <c r="C56" s="16">
        <v>96.33</v>
      </c>
      <c r="D56" s="16">
        <v>96.01</v>
      </c>
      <c r="E56" s="17" t="str">
        <f t="shared" si="4"/>
        <v>96.13±0.17</v>
      </c>
      <c r="F56" s="25"/>
      <c r="G56" s="25"/>
      <c r="H56" s="25"/>
      <c r="I56" s="26"/>
    </row>
    <row r="57" ht="22" customHeight="1" spans="1:9">
      <c r="A57" s="11" t="s">
        <v>354</v>
      </c>
      <c r="B57" s="12">
        <v>93.82</v>
      </c>
      <c r="C57" s="12">
        <v>94.85</v>
      </c>
      <c r="D57" s="12">
        <v>94.08</v>
      </c>
      <c r="E57" s="13" t="str">
        <f t="shared" si="4"/>
        <v>94.25±0.54</v>
      </c>
      <c r="F57" s="22"/>
      <c r="G57" s="22"/>
      <c r="H57" s="22"/>
      <c r="I57" s="23"/>
    </row>
    <row r="58" ht="22" customHeight="1" spans="1:9">
      <c r="A58" s="15" t="s">
        <v>292</v>
      </c>
      <c r="B58" s="16">
        <v>63.79</v>
      </c>
      <c r="C58" s="16">
        <v>64.85</v>
      </c>
      <c r="D58" s="16">
        <v>63.9</v>
      </c>
      <c r="E58" s="17" t="str">
        <f t="shared" si="4"/>
        <v>64.18±0.58</v>
      </c>
      <c r="F58" s="25"/>
      <c r="G58" s="25"/>
      <c r="H58" s="25"/>
      <c r="I58" s="26"/>
    </row>
    <row r="59" ht="22" customHeight="1" spans="1:9">
      <c r="A59" s="11" t="s">
        <v>355</v>
      </c>
      <c r="B59" s="12">
        <v>92.75</v>
      </c>
      <c r="C59" s="12">
        <v>92.33</v>
      </c>
      <c r="D59" s="12">
        <v>94.23</v>
      </c>
      <c r="E59" s="13" t="str">
        <f t="shared" si="4"/>
        <v>93.1±1</v>
      </c>
      <c r="F59" s="22"/>
      <c r="G59" s="22"/>
      <c r="H59" s="22"/>
      <c r="I59" s="23"/>
    </row>
    <row r="60" ht="22" customHeight="1" spans="1:9">
      <c r="A60" s="15" t="s">
        <v>356</v>
      </c>
      <c r="B60" s="16">
        <v>85.22</v>
      </c>
      <c r="C60" s="16">
        <v>83.39</v>
      </c>
      <c r="D60" s="16">
        <v>83.23</v>
      </c>
      <c r="E60" s="17" t="str">
        <f t="shared" si="4"/>
        <v>83.95±1.11</v>
      </c>
      <c r="F60" s="25"/>
      <c r="G60" s="25"/>
      <c r="H60" s="25"/>
      <c r="I60" s="26"/>
    </row>
    <row r="61" ht="22" customHeight="1" spans="1:9">
      <c r="A61" s="11" t="s">
        <v>357</v>
      </c>
      <c r="B61" s="12">
        <v>93.09</v>
      </c>
      <c r="C61" s="12">
        <v>92.62</v>
      </c>
      <c r="D61" s="12">
        <v>89.43</v>
      </c>
      <c r="E61" s="13" t="str">
        <f t="shared" si="4"/>
        <v>91.71±1.99</v>
      </c>
      <c r="F61" s="22"/>
      <c r="G61" s="22"/>
      <c r="H61" s="22"/>
      <c r="I61" s="23"/>
    </row>
    <row r="62" ht="22" customHeight="1" spans="1:9">
      <c r="A62" s="15" t="s">
        <v>358</v>
      </c>
      <c r="B62" s="16">
        <v>92.78</v>
      </c>
      <c r="C62" s="16">
        <v>93.67</v>
      </c>
      <c r="D62" s="16">
        <v>93.07</v>
      </c>
      <c r="E62" s="17" t="str">
        <f t="shared" si="4"/>
        <v>93.17±0.45</v>
      </c>
      <c r="F62" s="25"/>
      <c r="G62" s="25"/>
      <c r="H62" s="25"/>
      <c r="I62" s="26"/>
    </row>
    <row r="63" ht="22" customHeight="1" spans="1:9">
      <c r="A63" s="11" t="s">
        <v>294</v>
      </c>
      <c r="B63" s="12">
        <v>76.47</v>
      </c>
      <c r="C63" s="12">
        <v>75.86</v>
      </c>
      <c r="D63" s="12">
        <v>75.31</v>
      </c>
      <c r="E63" s="13" t="str">
        <f t="shared" si="4"/>
        <v>75.88±0.58</v>
      </c>
      <c r="F63" s="22"/>
      <c r="G63" s="22"/>
      <c r="H63" s="22"/>
      <c r="I63" s="23"/>
    </row>
    <row r="64" ht="22" customHeight="1" spans="1:9">
      <c r="A64" s="15" t="s">
        <v>359</v>
      </c>
      <c r="B64" s="16">
        <v>78.87</v>
      </c>
      <c r="C64" s="16">
        <v>77.65</v>
      </c>
      <c r="D64" s="16">
        <v>78.88</v>
      </c>
      <c r="E64" s="17" t="str">
        <f t="shared" si="4"/>
        <v>78.47±0.71</v>
      </c>
      <c r="F64" s="25"/>
      <c r="G64" s="25"/>
      <c r="H64" s="25"/>
      <c r="I64" s="26"/>
    </row>
    <row r="65" ht="22" customHeight="1" spans="1:9">
      <c r="A65" s="11" t="s">
        <v>295</v>
      </c>
      <c r="B65" s="12">
        <v>95.78</v>
      </c>
      <c r="C65" s="12">
        <v>95.85</v>
      </c>
      <c r="D65" s="12">
        <v>95.83</v>
      </c>
      <c r="E65" s="13" t="str">
        <f t="shared" si="4"/>
        <v>95.82±0.04</v>
      </c>
      <c r="F65" s="22"/>
      <c r="G65" s="22"/>
      <c r="H65" s="22"/>
      <c r="I65" s="23"/>
    </row>
    <row r="66" ht="22" customHeight="1" spans="1:9">
      <c r="A66" s="15" t="s">
        <v>360</v>
      </c>
      <c r="B66" s="16">
        <v>93.73</v>
      </c>
      <c r="C66" s="16">
        <v>93.73</v>
      </c>
      <c r="D66" s="16">
        <v>92.94</v>
      </c>
      <c r="E66" s="17" t="str">
        <f t="shared" si="4"/>
        <v>93.47±0.46</v>
      </c>
      <c r="F66" s="25"/>
      <c r="G66" s="25"/>
      <c r="H66" s="25"/>
      <c r="I66" s="26"/>
    </row>
    <row r="67" ht="22" customHeight="1" spans="1:9">
      <c r="A67" s="11" t="s">
        <v>361</v>
      </c>
      <c r="B67" s="12">
        <v>91.75</v>
      </c>
      <c r="C67" s="20">
        <v>90.8</v>
      </c>
      <c r="D67" s="12">
        <v>91.52</v>
      </c>
      <c r="E67" s="13" t="str">
        <f t="shared" si="4"/>
        <v>91.36±0.5</v>
      </c>
      <c r="F67" s="22"/>
      <c r="G67" s="22"/>
      <c r="H67" s="22"/>
      <c r="I67" s="23"/>
    </row>
    <row r="68" ht="22" customHeight="1" spans="1:9">
      <c r="A68" s="15" t="s">
        <v>362</v>
      </c>
      <c r="B68" s="19">
        <v>98.2</v>
      </c>
      <c r="C68" s="16">
        <v>98.27</v>
      </c>
      <c r="D68" s="16">
        <v>97.82</v>
      </c>
      <c r="E68" s="17" t="str">
        <f t="shared" si="4"/>
        <v>98.1±0.24</v>
      </c>
      <c r="F68" s="25"/>
      <c r="G68" s="25"/>
      <c r="H68" s="25"/>
      <c r="I68" s="26"/>
    </row>
    <row r="69" ht="22" customHeight="1" spans="1:9">
      <c r="A69" s="11" t="s">
        <v>363</v>
      </c>
      <c r="B69" s="12">
        <v>76.52</v>
      </c>
      <c r="C69" s="12">
        <v>75.38</v>
      </c>
      <c r="D69" s="20">
        <v>71.6</v>
      </c>
      <c r="E69" s="13" t="str">
        <f t="shared" si="4"/>
        <v>74.5±2.58</v>
      </c>
      <c r="F69" s="22"/>
      <c r="G69" s="22"/>
      <c r="H69" s="22"/>
      <c r="I69" s="23"/>
    </row>
    <row r="70" ht="22" customHeight="1" spans="1:9">
      <c r="A70" s="15" t="s">
        <v>298</v>
      </c>
      <c r="B70" s="16">
        <v>75.13</v>
      </c>
      <c r="C70" s="16">
        <v>73.67</v>
      </c>
      <c r="D70" s="16">
        <v>74.22</v>
      </c>
      <c r="E70" s="17" t="str">
        <f t="shared" si="4"/>
        <v>74.34±0.74</v>
      </c>
      <c r="F70" s="25"/>
      <c r="G70" s="25"/>
      <c r="H70" s="25"/>
      <c r="I70" s="26"/>
    </row>
    <row r="71" ht="22" customHeight="1" spans="1:9">
      <c r="A71" s="29" t="s">
        <v>364</v>
      </c>
      <c r="B71" s="30">
        <v>87.5</v>
      </c>
      <c r="C71" s="31">
        <v>87.17</v>
      </c>
      <c r="D71" s="30">
        <v>87.7</v>
      </c>
      <c r="E71" s="32" t="str">
        <f t="shared" si="4"/>
        <v>87.46±0.27</v>
      </c>
      <c r="F71" s="33"/>
      <c r="G71" s="33"/>
      <c r="H71" s="33"/>
      <c r="I71" s="34"/>
    </row>
    <row r="72" spans="1:9">
      <c r="A72" s="27"/>
      <c r="B72" s="27"/>
      <c r="C72" s="27"/>
      <c r="D72" s="27"/>
      <c r="E72" s="27"/>
    </row>
    <row r="73" spans="1:9">
      <c r="A73" s="27"/>
      <c r="B73" s="27"/>
      <c r="C73" s="27"/>
      <c r="D73" s="27"/>
      <c r="E73" s="27"/>
    </row>
    <row r="74" spans="1:9">
      <c r="A74" s="27"/>
      <c r="B74" s="27"/>
      <c r="C74" s="27"/>
      <c r="D74" s="27"/>
      <c r="E74" s="2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股份机关</Company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nwpu</vt:lpstr>
      <vt:lpstr>dota</vt:lpstr>
      <vt:lpstr>dior</vt:lpstr>
      <vt:lpstr>nwpu1</vt:lpstr>
      <vt:lpstr>dota1</vt:lpstr>
      <vt:lpstr>dior1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周好运</cp:lastModifiedBy>
  <dcterms:created xsi:type="dcterms:W3CDTF">2026-05-30T15:00:27Z</dcterms:created>
  <dcterms:modified xsi:type="dcterms:W3CDTF">2026-05-30T15:20:31Z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1ED5927556AB497A917F8E30CB0F2164_11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